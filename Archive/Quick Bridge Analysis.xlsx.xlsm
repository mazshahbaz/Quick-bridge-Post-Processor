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30mc\Documents\Master Sword\Tools\Quick Bridge Analysis\"/>
    </mc:Choice>
  </mc:AlternateContent>
  <bookViews>
    <workbookView xWindow="0" yWindow="0" windowWidth="25200" windowHeight="11895" activeTab="1"/>
  </bookViews>
  <sheets>
    <sheet name="Dev" sheetId="1" r:id="rId1"/>
    <sheet name="Raw" sheetId="6" r:id="rId2"/>
    <sheet name="Span 1" sheetId="2" r:id="rId3"/>
    <sheet name="Sheet3" sheetId="3" r:id="rId4"/>
    <sheet name="Sheet4" sheetId="4" r:id="rId5"/>
    <sheet name="Sheet5" sheetId="5" r:id="rId6"/>
  </sheets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H140" i="3" l="1"/>
  <c r="G140" i="3"/>
  <c r="F140" i="3"/>
  <c r="E140" i="3"/>
  <c r="H139" i="3"/>
  <c r="G139" i="3"/>
  <c r="F139" i="3"/>
  <c r="E139" i="3"/>
  <c r="H138" i="3"/>
  <c r="G138" i="3"/>
  <c r="F138" i="3"/>
  <c r="E138" i="3"/>
  <c r="H137" i="3"/>
  <c r="G137" i="3"/>
  <c r="F137" i="3"/>
  <c r="E137" i="3"/>
  <c r="H136" i="3"/>
  <c r="G136" i="3"/>
  <c r="F136" i="3"/>
  <c r="E136" i="3"/>
  <c r="H135" i="3"/>
  <c r="G135" i="3"/>
  <c r="F135" i="3"/>
  <c r="E135" i="3"/>
  <c r="H134" i="3"/>
  <c r="G134" i="3"/>
  <c r="F134" i="3"/>
  <c r="E134" i="3"/>
  <c r="H133" i="3"/>
  <c r="G133" i="3"/>
  <c r="F133" i="3"/>
  <c r="E133" i="3"/>
  <c r="H132" i="3"/>
  <c r="G132" i="3"/>
  <c r="F132" i="3"/>
  <c r="E132" i="3"/>
  <c r="H131" i="3"/>
  <c r="G131" i="3"/>
  <c r="F131" i="3"/>
  <c r="E131" i="3"/>
  <c r="H130" i="3"/>
  <c r="G130" i="3"/>
  <c r="F130" i="3"/>
  <c r="E130" i="3"/>
  <c r="H129" i="3"/>
  <c r="G129" i="3"/>
  <c r="F129" i="3"/>
  <c r="E129" i="3"/>
  <c r="H128" i="3"/>
  <c r="G128" i="3"/>
  <c r="F128" i="3"/>
  <c r="E128" i="3"/>
  <c r="H127" i="3"/>
  <c r="G127" i="3"/>
  <c r="F127" i="3"/>
  <c r="E127" i="3"/>
  <c r="H126" i="3"/>
  <c r="G126" i="3"/>
  <c r="F126" i="3"/>
  <c r="E126" i="3"/>
  <c r="H125" i="3"/>
  <c r="G125" i="3"/>
  <c r="F125" i="3"/>
  <c r="E125" i="3"/>
  <c r="H124" i="3"/>
  <c r="G124" i="3"/>
  <c r="F124" i="3"/>
  <c r="E124" i="3"/>
  <c r="H123" i="3"/>
  <c r="G123" i="3"/>
  <c r="F123" i="3"/>
  <c r="E123" i="3"/>
  <c r="H122" i="3"/>
  <c r="G122" i="3"/>
  <c r="F122" i="3"/>
  <c r="E122" i="3"/>
  <c r="H121" i="3"/>
  <c r="G121" i="3"/>
  <c r="F121" i="3"/>
  <c r="E121" i="3"/>
  <c r="H120" i="3"/>
  <c r="G120" i="3"/>
  <c r="F120" i="3"/>
  <c r="E120" i="3"/>
  <c r="H119" i="3"/>
  <c r="G119" i="3"/>
  <c r="F119" i="3"/>
  <c r="E119" i="3"/>
  <c r="H118" i="3"/>
  <c r="G118" i="3"/>
  <c r="F118" i="3"/>
  <c r="E118" i="3"/>
  <c r="H117" i="3"/>
  <c r="G117" i="3"/>
  <c r="F117" i="3"/>
  <c r="E117" i="3"/>
  <c r="H116" i="3"/>
  <c r="G116" i="3"/>
  <c r="F116" i="3"/>
  <c r="E116" i="3"/>
  <c r="H115" i="3"/>
  <c r="G115" i="3"/>
  <c r="F115" i="3"/>
  <c r="E115" i="3"/>
  <c r="H114" i="3"/>
  <c r="G114" i="3"/>
  <c r="F114" i="3"/>
  <c r="E114" i="3"/>
  <c r="H113" i="3"/>
  <c r="G113" i="3"/>
  <c r="F113" i="3"/>
  <c r="E113" i="3"/>
  <c r="H112" i="3"/>
  <c r="G112" i="3"/>
  <c r="F112" i="3"/>
  <c r="E112" i="3"/>
  <c r="H111" i="3"/>
  <c r="G111" i="3"/>
  <c r="F111" i="3"/>
  <c r="E111" i="3"/>
  <c r="H110" i="3"/>
  <c r="G110" i="3"/>
  <c r="F110" i="3"/>
  <c r="E110" i="3"/>
  <c r="H109" i="3"/>
  <c r="G109" i="3"/>
  <c r="F109" i="3"/>
  <c r="E109" i="3"/>
  <c r="H108" i="3"/>
  <c r="G108" i="3"/>
  <c r="F108" i="3"/>
  <c r="E108" i="3"/>
  <c r="H107" i="3"/>
  <c r="G107" i="3"/>
  <c r="F107" i="3"/>
  <c r="E107" i="3"/>
  <c r="H106" i="3"/>
  <c r="G106" i="3"/>
  <c r="F106" i="3"/>
  <c r="E106" i="3"/>
  <c r="H105" i="3"/>
  <c r="G105" i="3"/>
  <c r="F105" i="3"/>
  <c r="E105" i="3"/>
  <c r="H104" i="3"/>
  <c r="G104" i="3"/>
  <c r="F104" i="3"/>
  <c r="E104" i="3"/>
  <c r="H103" i="3"/>
  <c r="G103" i="3"/>
  <c r="F103" i="3"/>
  <c r="E103" i="3"/>
  <c r="H102" i="3"/>
  <c r="G102" i="3"/>
  <c r="F102" i="3"/>
  <c r="E102" i="3"/>
  <c r="H101" i="3"/>
  <c r="G101" i="3"/>
  <c r="F101" i="3"/>
  <c r="E101" i="3"/>
  <c r="H100" i="3"/>
  <c r="G100" i="3"/>
  <c r="F100" i="3"/>
  <c r="E100" i="3"/>
  <c r="H99" i="3"/>
  <c r="G99" i="3"/>
  <c r="F99" i="3"/>
  <c r="E99" i="3"/>
  <c r="H98" i="3"/>
  <c r="G98" i="3"/>
  <c r="F98" i="3"/>
  <c r="E98" i="3"/>
  <c r="H97" i="3"/>
  <c r="G97" i="3"/>
  <c r="F97" i="3"/>
  <c r="E97" i="3"/>
  <c r="H96" i="3"/>
  <c r="G96" i="3"/>
  <c r="F96" i="3"/>
  <c r="E96" i="3"/>
  <c r="H95" i="3"/>
  <c r="G95" i="3"/>
  <c r="F95" i="3"/>
  <c r="E95" i="3"/>
  <c r="H94" i="3"/>
  <c r="G94" i="3"/>
  <c r="F94" i="3"/>
  <c r="E94" i="3"/>
  <c r="H93" i="3"/>
  <c r="G93" i="3"/>
  <c r="F93" i="3"/>
  <c r="E93" i="3"/>
  <c r="H92" i="3"/>
  <c r="G92" i="3"/>
  <c r="F92" i="3"/>
  <c r="E92" i="3"/>
  <c r="H91" i="3"/>
  <c r="G91" i="3"/>
  <c r="F91" i="3"/>
  <c r="E91" i="3"/>
  <c r="H90" i="3"/>
  <c r="G90" i="3"/>
  <c r="F90" i="3"/>
  <c r="E90" i="3"/>
  <c r="H89" i="3"/>
  <c r="G89" i="3"/>
  <c r="F89" i="3"/>
  <c r="E89" i="3"/>
  <c r="H88" i="3"/>
  <c r="G88" i="3"/>
  <c r="F88" i="3"/>
  <c r="E88" i="3"/>
  <c r="H87" i="3"/>
  <c r="G87" i="3"/>
  <c r="F87" i="3"/>
  <c r="E87" i="3"/>
  <c r="H86" i="3"/>
  <c r="G86" i="3"/>
  <c r="F86" i="3"/>
  <c r="E86" i="3"/>
  <c r="H85" i="3"/>
  <c r="G85" i="3"/>
  <c r="F85" i="3"/>
  <c r="E85" i="3"/>
  <c r="H84" i="3"/>
  <c r="G84" i="3"/>
  <c r="F84" i="3"/>
  <c r="E84" i="3"/>
  <c r="H83" i="3"/>
  <c r="G83" i="3"/>
  <c r="F83" i="3"/>
  <c r="E83" i="3"/>
  <c r="H82" i="3"/>
  <c r="G82" i="3"/>
  <c r="F82" i="3"/>
  <c r="E82" i="3"/>
  <c r="H81" i="3"/>
  <c r="G81" i="3"/>
  <c r="F81" i="3"/>
  <c r="E81" i="3"/>
  <c r="H80" i="3"/>
  <c r="G80" i="3"/>
  <c r="F80" i="3"/>
  <c r="E80" i="3"/>
  <c r="H79" i="3"/>
  <c r="G79" i="3"/>
  <c r="F79" i="3"/>
  <c r="E79" i="3"/>
  <c r="H78" i="3"/>
  <c r="G78" i="3"/>
  <c r="F78" i="3"/>
  <c r="E78" i="3"/>
  <c r="H77" i="3"/>
  <c r="G77" i="3"/>
  <c r="F77" i="3"/>
  <c r="E77" i="3"/>
  <c r="H76" i="3"/>
  <c r="G76" i="3"/>
  <c r="F76" i="3"/>
  <c r="E76" i="3"/>
  <c r="H75" i="3"/>
  <c r="G75" i="3"/>
  <c r="F75" i="3"/>
  <c r="E75" i="3"/>
  <c r="H74" i="3"/>
  <c r="G74" i="3"/>
  <c r="F74" i="3"/>
  <c r="E74" i="3"/>
  <c r="H73" i="3"/>
  <c r="G73" i="3"/>
  <c r="F73" i="3"/>
  <c r="E73" i="3"/>
  <c r="H72" i="3"/>
  <c r="G72" i="3"/>
  <c r="F72" i="3"/>
  <c r="E72" i="3"/>
  <c r="H71" i="3"/>
  <c r="G71" i="3"/>
  <c r="F71" i="3"/>
  <c r="E71" i="3"/>
  <c r="H70" i="3"/>
  <c r="G70" i="3"/>
  <c r="F70" i="3"/>
  <c r="E70" i="3"/>
  <c r="H69" i="3"/>
  <c r="G69" i="3"/>
  <c r="F69" i="3"/>
  <c r="E69" i="3"/>
  <c r="H68" i="3"/>
  <c r="G68" i="3"/>
  <c r="F68" i="3"/>
  <c r="E68" i="3"/>
  <c r="H67" i="3"/>
  <c r="G67" i="3"/>
  <c r="F67" i="3"/>
  <c r="E67" i="3"/>
  <c r="H66" i="3"/>
  <c r="G66" i="3"/>
  <c r="F66" i="3"/>
  <c r="E66" i="3"/>
  <c r="H65" i="3"/>
  <c r="G65" i="3"/>
  <c r="F65" i="3"/>
  <c r="E65" i="3"/>
  <c r="H64" i="3"/>
  <c r="G64" i="3"/>
  <c r="F64" i="3"/>
  <c r="E64" i="3"/>
  <c r="H63" i="3"/>
  <c r="G63" i="3"/>
  <c r="F63" i="3"/>
  <c r="E63" i="3"/>
  <c r="H62" i="3"/>
  <c r="G62" i="3"/>
  <c r="F62" i="3"/>
  <c r="E62" i="3"/>
  <c r="H61" i="3"/>
  <c r="G61" i="3"/>
  <c r="F61" i="3"/>
  <c r="E61" i="3"/>
  <c r="H60" i="3"/>
  <c r="G60" i="3"/>
  <c r="F60" i="3"/>
  <c r="E60" i="3"/>
  <c r="H59" i="3"/>
  <c r="G59" i="3"/>
  <c r="F59" i="3"/>
  <c r="E59" i="3"/>
  <c r="H58" i="3"/>
  <c r="G58" i="3"/>
  <c r="F58" i="3"/>
  <c r="E58" i="3"/>
  <c r="H57" i="3"/>
  <c r="G57" i="3"/>
  <c r="F57" i="3"/>
  <c r="E57" i="3"/>
  <c r="H56" i="3"/>
  <c r="G56" i="3"/>
  <c r="F56" i="3"/>
  <c r="E56" i="3"/>
  <c r="H55" i="3"/>
  <c r="G55" i="3"/>
  <c r="F55" i="3"/>
  <c r="E55" i="3"/>
  <c r="H54" i="3"/>
  <c r="G54" i="3"/>
  <c r="F54" i="3"/>
  <c r="E54" i="3"/>
  <c r="H53" i="3"/>
  <c r="G53" i="3"/>
  <c r="F53" i="3"/>
  <c r="E53" i="3"/>
  <c r="H52" i="3"/>
  <c r="G52" i="3"/>
  <c r="F52" i="3"/>
  <c r="E52" i="3"/>
  <c r="H51" i="3"/>
  <c r="G51" i="3"/>
  <c r="F51" i="3"/>
  <c r="E51" i="3"/>
  <c r="H50" i="3"/>
  <c r="G50" i="3"/>
  <c r="F50" i="3"/>
  <c r="E50" i="3"/>
  <c r="H49" i="3"/>
  <c r="G49" i="3"/>
  <c r="F49" i="3"/>
  <c r="E49" i="3"/>
  <c r="H48" i="3"/>
  <c r="G48" i="3"/>
  <c r="F48" i="3"/>
  <c r="E48" i="3"/>
  <c r="H47" i="3"/>
  <c r="G47" i="3"/>
  <c r="F47" i="3"/>
  <c r="E47" i="3"/>
  <c r="H46" i="3"/>
  <c r="G46" i="3"/>
  <c r="F46" i="3"/>
  <c r="E46" i="3"/>
  <c r="H45" i="3"/>
  <c r="G45" i="3"/>
  <c r="F45" i="3"/>
  <c r="E45" i="3"/>
  <c r="H44" i="3"/>
  <c r="G44" i="3"/>
  <c r="F44" i="3"/>
  <c r="E44" i="3"/>
  <c r="H43" i="3"/>
  <c r="G43" i="3"/>
  <c r="F43" i="3"/>
  <c r="E43" i="3"/>
  <c r="H42" i="3"/>
  <c r="G42" i="3"/>
  <c r="F42" i="3"/>
  <c r="E42" i="3"/>
  <c r="H41" i="3"/>
  <c r="G41" i="3"/>
  <c r="F41" i="3"/>
  <c r="E41" i="3"/>
  <c r="H40" i="3"/>
  <c r="G40" i="3"/>
  <c r="F40" i="3"/>
  <c r="E40" i="3"/>
  <c r="H39" i="3"/>
  <c r="G39" i="3"/>
  <c r="F39" i="3"/>
  <c r="E39" i="3"/>
  <c r="H38" i="3"/>
  <c r="G38" i="3"/>
  <c r="F38" i="3"/>
  <c r="E38" i="3"/>
  <c r="H37" i="3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S12" i="3"/>
  <c r="R12" i="3"/>
  <c r="Q12" i="3"/>
  <c r="P12" i="3"/>
  <c r="J85" i="2"/>
  <c r="I85" i="2"/>
  <c r="H85" i="2"/>
  <c r="G85" i="2"/>
  <c r="F85" i="2"/>
  <c r="E85" i="2"/>
  <c r="D85" i="2"/>
  <c r="L85" i="2" s="1"/>
  <c r="J84" i="2"/>
  <c r="I84" i="2"/>
  <c r="H84" i="2"/>
  <c r="G84" i="2"/>
  <c r="F84" i="2"/>
  <c r="E84" i="2"/>
  <c r="D84" i="2"/>
  <c r="J83" i="2"/>
  <c r="I83" i="2"/>
  <c r="H83" i="2"/>
  <c r="G83" i="2"/>
  <c r="F83" i="2"/>
  <c r="E83" i="2"/>
  <c r="D83" i="2"/>
  <c r="J82" i="2"/>
  <c r="I82" i="2"/>
  <c r="H82" i="2"/>
  <c r="G82" i="2"/>
  <c r="F82" i="2"/>
  <c r="E82" i="2"/>
  <c r="D82" i="2"/>
  <c r="J81" i="2"/>
  <c r="I81" i="2"/>
  <c r="H81" i="2"/>
  <c r="G81" i="2"/>
  <c r="F81" i="2"/>
  <c r="E81" i="2"/>
  <c r="D81" i="2"/>
  <c r="J80" i="2"/>
  <c r="I80" i="2"/>
  <c r="H80" i="2"/>
  <c r="G80" i="2"/>
  <c r="F80" i="2"/>
  <c r="E80" i="2"/>
  <c r="D80" i="2"/>
  <c r="J79" i="2"/>
  <c r="I79" i="2"/>
  <c r="H79" i="2"/>
  <c r="G79" i="2"/>
  <c r="F79" i="2"/>
  <c r="E79" i="2"/>
  <c r="D79" i="2"/>
  <c r="J78" i="2"/>
  <c r="I78" i="2"/>
  <c r="H78" i="2"/>
  <c r="G78" i="2"/>
  <c r="F78" i="2"/>
  <c r="E78" i="2"/>
  <c r="K78" i="2" s="1"/>
  <c r="D78" i="2"/>
  <c r="J77" i="2"/>
  <c r="I77" i="2"/>
  <c r="H77" i="2"/>
  <c r="G77" i="2"/>
  <c r="F77" i="2"/>
  <c r="E77" i="2"/>
  <c r="D77" i="2"/>
  <c r="L77" i="2" s="1"/>
  <c r="J76" i="2"/>
  <c r="I76" i="2"/>
  <c r="H76" i="2"/>
  <c r="G76" i="2"/>
  <c r="F76" i="2"/>
  <c r="E76" i="2"/>
  <c r="D76" i="2"/>
  <c r="J75" i="2"/>
  <c r="I75" i="2"/>
  <c r="H75" i="2"/>
  <c r="G75" i="2"/>
  <c r="F75" i="2"/>
  <c r="E75" i="2"/>
  <c r="D75" i="2"/>
  <c r="J74" i="2"/>
  <c r="I74" i="2"/>
  <c r="H74" i="2"/>
  <c r="G74" i="2"/>
  <c r="F74" i="2"/>
  <c r="E74" i="2"/>
  <c r="D74" i="2"/>
  <c r="J73" i="2"/>
  <c r="I73" i="2"/>
  <c r="H73" i="2"/>
  <c r="G73" i="2"/>
  <c r="F73" i="2"/>
  <c r="E73" i="2"/>
  <c r="D73" i="2"/>
  <c r="J67" i="2"/>
  <c r="I67" i="2"/>
  <c r="H67" i="2"/>
  <c r="G67" i="2"/>
  <c r="F67" i="2"/>
  <c r="E67" i="2"/>
  <c r="D67" i="2"/>
  <c r="J66" i="2"/>
  <c r="I66" i="2"/>
  <c r="H66" i="2"/>
  <c r="G66" i="2"/>
  <c r="F66" i="2"/>
  <c r="E66" i="2"/>
  <c r="D66" i="2"/>
  <c r="J65" i="2"/>
  <c r="I65" i="2"/>
  <c r="H65" i="2"/>
  <c r="G65" i="2"/>
  <c r="F65" i="2"/>
  <c r="E65" i="2"/>
  <c r="D65" i="2"/>
  <c r="J64" i="2"/>
  <c r="I64" i="2"/>
  <c r="H64" i="2"/>
  <c r="G64" i="2"/>
  <c r="F64" i="2"/>
  <c r="E64" i="2"/>
  <c r="D64" i="2"/>
  <c r="J63" i="2"/>
  <c r="I63" i="2"/>
  <c r="H63" i="2"/>
  <c r="G63" i="2"/>
  <c r="F63" i="2"/>
  <c r="E63" i="2"/>
  <c r="D63" i="2"/>
  <c r="J62" i="2"/>
  <c r="I62" i="2"/>
  <c r="H62" i="2"/>
  <c r="G62" i="2"/>
  <c r="F62" i="2"/>
  <c r="E62" i="2"/>
  <c r="D62" i="2"/>
  <c r="J61" i="2"/>
  <c r="I61" i="2"/>
  <c r="H61" i="2"/>
  <c r="G61" i="2"/>
  <c r="F61" i="2"/>
  <c r="E61" i="2"/>
  <c r="D61" i="2"/>
  <c r="J60" i="2"/>
  <c r="I60" i="2"/>
  <c r="H60" i="2"/>
  <c r="G60" i="2"/>
  <c r="F60" i="2"/>
  <c r="E60" i="2"/>
  <c r="D60" i="2"/>
  <c r="J59" i="2"/>
  <c r="I59" i="2"/>
  <c r="H59" i="2"/>
  <c r="G59" i="2"/>
  <c r="F59" i="2"/>
  <c r="E59" i="2"/>
  <c r="D59" i="2"/>
  <c r="J58" i="2"/>
  <c r="I58" i="2"/>
  <c r="H58" i="2"/>
  <c r="G58" i="2"/>
  <c r="F58" i="2"/>
  <c r="E58" i="2"/>
  <c r="D58" i="2"/>
  <c r="J57" i="2"/>
  <c r="I57" i="2"/>
  <c r="H57" i="2"/>
  <c r="G57" i="2"/>
  <c r="F57" i="2"/>
  <c r="E57" i="2"/>
  <c r="D57" i="2"/>
  <c r="J56" i="2"/>
  <c r="I56" i="2"/>
  <c r="H56" i="2"/>
  <c r="G56" i="2"/>
  <c r="F56" i="2"/>
  <c r="E56" i="2"/>
  <c r="D56" i="2"/>
  <c r="J55" i="2"/>
  <c r="I55" i="2"/>
  <c r="H55" i="2"/>
  <c r="G55" i="2"/>
  <c r="F55" i="2"/>
  <c r="E55" i="2"/>
  <c r="D55" i="2"/>
  <c r="J43" i="2"/>
  <c r="I43" i="2"/>
  <c r="H43" i="2"/>
  <c r="G43" i="2"/>
  <c r="F43" i="2"/>
  <c r="E43" i="2"/>
  <c r="D43" i="2"/>
  <c r="J42" i="2"/>
  <c r="I42" i="2"/>
  <c r="H42" i="2"/>
  <c r="G42" i="2"/>
  <c r="F42" i="2"/>
  <c r="E42" i="2"/>
  <c r="D42" i="2"/>
  <c r="J41" i="2"/>
  <c r="I41" i="2"/>
  <c r="H41" i="2"/>
  <c r="G41" i="2"/>
  <c r="F41" i="2"/>
  <c r="E41" i="2"/>
  <c r="D41" i="2"/>
  <c r="J40" i="2"/>
  <c r="I40" i="2"/>
  <c r="H40" i="2"/>
  <c r="G40" i="2"/>
  <c r="F40" i="2"/>
  <c r="E40" i="2"/>
  <c r="D40" i="2"/>
  <c r="J39" i="2"/>
  <c r="I39" i="2"/>
  <c r="H39" i="2"/>
  <c r="G39" i="2"/>
  <c r="F39" i="2"/>
  <c r="E39" i="2"/>
  <c r="D39" i="2"/>
  <c r="J38" i="2"/>
  <c r="I38" i="2"/>
  <c r="H38" i="2"/>
  <c r="G38" i="2"/>
  <c r="F38" i="2"/>
  <c r="E38" i="2"/>
  <c r="D38" i="2"/>
  <c r="J37" i="2"/>
  <c r="I37" i="2"/>
  <c r="H37" i="2"/>
  <c r="G37" i="2"/>
  <c r="F37" i="2"/>
  <c r="E37" i="2"/>
  <c r="D37" i="2"/>
  <c r="J36" i="2"/>
  <c r="I36" i="2"/>
  <c r="H36" i="2"/>
  <c r="G36" i="2"/>
  <c r="F36" i="2"/>
  <c r="E36" i="2"/>
  <c r="D36" i="2"/>
  <c r="J35" i="2"/>
  <c r="I35" i="2"/>
  <c r="H35" i="2"/>
  <c r="G35" i="2"/>
  <c r="F35" i="2"/>
  <c r="E35" i="2"/>
  <c r="D35" i="2"/>
  <c r="J34" i="2"/>
  <c r="I34" i="2"/>
  <c r="H34" i="2"/>
  <c r="G34" i="2"/>
  <c r="F34" i="2"/>
  <c r="E34" i="2"/>
  <c r="D34" i="2"/>
  <c r="J33" i="2"/>
  <c r="I33" i="2"/>
  <c r="H33" i="2"/>
  <c r="G33" i="2"/>
  <c r="F33" i="2"/>
  <c r="E33" i="2"/>
  <c r="D33" i="2"/>
  <c r="J32" i="2"/>
  <c r="I32" i="2"/>
  <c r="H32" i="2"/>
  <c r="G32" i="2"/>
  <c r="F32" i="2"/>
  <c r="E32" i="2"/>
  <c r="D32" i="2"/>
  <c r="J31" i="2"/>
  <c r="I31" i="2"/>
  <c r="H31" i="2"/>
  <c r="G31" i="2"/>
  <c r="F31" i="2"/>
  <c r="E31" i="2"/>
  <c r="D31" i="2"/>
  <c r="J25" i="2"/>
  <c r="I25" i="2"/>
  <c r="H25" i="2"/>
  <c r="G25" i="2"/>
  <c r="F25" i="2"/>
  <c r="E25" i="2"/>
  <c r="D25" i="2"/>
  <c r="J24" i="2"/>
  <c r="I24" i="2"/>
  <c r="H24" i="2"/>
  <c r="G24" i="2"/>
  <c r="F24" i="2"/>
  <c r="E24" i="2"/>
  <c r="D24" i="2"/>
  <c r="J23" i="2"/>
  <c r="I23" i="2"/>
  <c r="H23" i="2"/>
  <c r="G23" i="2"/>
  <c r="F23" i="2"/>
  <c r="E23" i="2"/>
  <c r="D23" i="2"/>
  <c r="J22" i="2"/>
  <c r="I22" i="2"/>
  <c r="H22" i="2"/>
  <c r="G22" i="2"/>
  <c r="F22" i="2"/>
  <c r="E22" i="2"/>
  <c r="D22" i="2"/>
  <c r="J21" i="2"/>
  <c r="I21" i="2"/>
  <c r="H21" i="2"/>
  <c r="G21" i="2"/>
  <c r="F21" i="2"/>
  <c r="E21" i="2"/>
  <c r="D21" i="2"/>
  <c r="J20" i="2"/>
  <c r="I20" i="2"/>
  <c r="H20" i="2"/>
  <c r="G20" i="2"/>
  <c r="F20" i="2"/>
  <c r="E20" i="2"/>
  <c r="D20" i="2"/>
  <c r="J19" i="2"/>
  <c r="I19" i="2"/>
  <c r="H19" i="2"/>
  <c r="G19" i="2"/>
  <c r="F19" i="2"/>
  <c r="E19" i="2"/>
  <c r="D19" i="2"/>
  <c r="J18" i="2"/>
  <c r="I18" i="2"/>
  <c r="H18" i="2"/>
  <c r="G18" i="2"/>
  <c r="F18" i="2"/>
  <c r="E18" i="2"/>
  <c r="D18" i="2"/>
  <c r="J17" i="2"/>
  <c r="I17" i="2"/>
  <c r="H17" i="2"/>
  <c r="G17" i="2"/>
  <c r="F17" i="2"/>
  <c r="E17" i="2"/>
  <c r="D17" i="2"/>
  <c r="J16" i="2"/>
  <c r="I16" i="2"/>
  <c r="H16" i="2"/>
  <c r="G16" i="2"/>
  <c r="F16" i="2"/>
  <c r="E16" i="2"/>
  <c r="D16" i="2"/>
  <c r="J15" i="2"/>
  <c r="I15" i="2"/>
  <c r="H15" i="2"/>
  <c r="G15" i="2"/>
  <c r="F15" i="2"/>
  <c r="E15" i="2"/>
  <c r="D15" i="2"/>
  <c r="J14" i="2"/>
  <c r="I14" i="2"/>
  <c r="H14" i="2"/>
  <c r="G14" i="2"/>
  <c r="F14" i="2"/>
  <c r="E14" i="2"/>
  <c r="D14" i="2"/>
  <c r="J13" i="2"/>
  <c r="I13" i="2"/>
  <c r="H13" i="2"/>
  <c r="G13" i="2"/>
  <c r="F13" i="2"/>
  <c r="E13" i="2"/>
  <c r="D13" i="2"/>
  <c r="L76" i="2" l="1"/>
  <c r="K63" i="2"/>
  <c r="L42" i="2"/>
  <c r="L33" i="2"/>
  <c r="L41" i="2"/>
  <c r="L18" i="2"/>
  <c r="K14" i="2"/>
  <c r="L84" i="2"/>
  <c r="K35" i="2"/>
  <c r="K43" i="2"/>
  <c r="K62" i="2"/>
  <c r="K75" i="2"/>
  <c r="L61" i="2"/>
  <c r="L19" i="2"/>
  <c r="K20" i="2"/>
  <c r="K22" i="2"/>
  <c r="L32" i="2"/>
  <c r="K84" i="2"/>
  <c r="K19" i="2"/>
  <c r="L59" i="2"/>
  <c r="L15" i="2"/>
  <c r="L24" i="2"/>
  <c r="K25" i="2"/>
  <c r="K36" i="2"/>
  <c r="L38" i="2"/>
  <c r="L58" i="2"/>
  <c r="L67" i="2"/>
  <c r="K73" i="2"/>
  <c r="L81" i="2"/>
  <c r="K15" i="2"/>
  <c r="L31" i="2"/>
  <c r="L40" i="2"/>
  <c r="L60" i="2"/>
  <c r="L74" i="2"/>
  <c r="K83" i="2"/>
  <c r="K17" i="2"/>
  <c r="L25" i="2"/>
  <c r="L73" i="2"/>
  <c r="K13" i="2"/>
  <c r="L22" i="2"/>
  <c r="L23" i="2"/>
  <c r="L37" i="2"/>
  <c r="K38" i="2"/>
  <c r="K55" i="2"/>
  <c r="L57" i="2"/>
  <c r="L66" i="2"/>
  <c r="L80" i="2"/>
  <c r="K81" i="2"/>
  <c r="K33" i="2"/>
  <c r="L17" i="2"/>
  <c r="K41" i="2"/>
  <c r="L16" i="2"/>
  <c r="K23" i="2"/>
  <c r="L39" i="2"/>
  <c r="K60" i="2"/>
  <c r="L82" i="2"/>
  <c r="L14" i="2"/>
  <c r="K21" i="2"/>
  <c r="L35" i="2"/>
  <c r="L36" i="2"/>
  <c r="L56" i="2"/>
  <c r="K57" i="2"/>
  <c r="L65" i="2"/>
  <c r="L79" i="2"/>
  <c r="L20" i="2"/>
  <c r="L34" i="2"/>
  <c r="L43" i="2"/>
  <c r="L55" i="2"/>
  <c r="L63" i="2"/>
  <c r="L64" i="2"/>
  <c r="K65" i="2"/>
  <c r="K76" i="2"/>
  <c r="L78" i="2"/>
  <c r="L62" i="2"/>
  <c r="L75" i="2"/>
  <c r="L83" i="2"/>
  <c r="K16" i="2"/>
  <c r="K24" i="2"/>
  <c r="K37" i="2"/>
  <c r="K56" i="2"/>
  <c r="K64" i="2"/>
  <c r="K77" i="2"/>
  <c r="K85" i="2"/>
  <c r="L13" i="2"/>
  <c r="L21" i="2"/>
  <c r="K18" i="2"/>
  <c r="K31" i="2"/>
  <c r="K39" i="2"/>
  <c r="K58" i="2"/>
  <c r="K66" i="2"/>
  <c r="K79" i="2"/>
  <c r="K32" i="2"/>
  <c r="K40" i="2"/>
  <c r="K59" i="2"/>
  <c r="K67" i="2"/>
  <c r="K80" i="2"/>
  <c r="K34" i="2"/>
  <c r="K42" i="2"/>
  <c r="K61" i="2"/>
  <c r="K74" i="2"/>
  <c r="K82" i="2"/>
</calcChain>
</file>

<file path=xl/sharedStrings.xml><?xml version="1.0" encoding="utf-8"?>
<sst xmlns="http://schemas.openxmlformats.org/spreadsheetml/2006/main" count="143" uniqueCount="75">
  <si>
    <t>Bobj Array</t>
  </si>
  <si>
    <t>Span Array</t>
  </si>
  <si>
    <t>Girder Array for each span</t>
  </si>
  <si>
    <t>Station Array for each span</t>
  </si>
  <si>
    <t>Output Case Array</t>
  </si>
  <si>
    <t>Frame 1 Moment Table</t>
  </si>
  <si>
    <t>Factors</t>
  </si>
  <si>
    <t>Stations</t>
  </si>
  <si>
    <t>BARRIER</t>
  </si>
  <si>
    <t>CL-625-ON (Max)</t>
  </si>
  <si>
    <t>CL-625-ON (Min)</t>
  </si>
  <si>
    <t>DEAD</t>
  </si>
  <si>
    <t>SAFTEY_CURB</t>
  </si>
  <si>
    <t>SIDEWALK</t>
  </si>
  <si>
    <t>WEARING_SURFACE</t>
  </si>
  <si>
    <t>TOTAL (Max)</t>
  </si>
  <si>
    <t>TOTAL (Min)</t>
  </si>
  <si>
    <t>Frame 1 Shear Table</t>
  </si>
  <si>
    <t>Frame 2 Moment Table</t>
  </si>
  <si>
    <t>Frame 2 Shear Table</t>
  </si>
  <si>
    <t>Left Exterior Girder</t>
  </si>
  <si>
    <t>Interior Girder 1</t>
  </si>
  <si>
    <t>Right Exterior Girder</t>
  </si>
  <si>
    <t>Input Station</t>
  </si>
  <si>
    <t>X</t>
  </si>
  <si>
    <t>Location</t>
  </si>
  <si>
    <t>Station</t>
  </si>
  <si>
    <t>Max M</t>
  </si>
  <si>
    <t>Min M</t>
  </si>
  <si>
    <t>Max V</t>
  </si>
  <si>
    <t>Min V</t>
  </si>
  <si>
    <t>X1</t>
  </si>
  <si>
    <t>X2</t>
  </si>
  <si>
    <t>Frame</t>
  </si>
  <si>
    <t>Moment (Max)</t>
  </si>
  <si>
    <t>Moment (Min)</t>
  </si>
  <si>
    <t>Shear (Max)</t>
  </si>
  <si>
    <t>Shear (Min)</t>
  </si>
  <si>
    <t>Features:</t>
  </si>
  <si>
    <t>Create Envelopes</t>
  </si>
  <si>
    <t>Analyze by Span and Girder</t>
  </si>
  <si>
    <t>Create summary tables for each span</t>
  </si>
  <si>
    <t>go through table 1 by and sort into various arrays</t>
  </si>
  <si>
    <t>go through table 1 by 1 and sort into various excel tables</t>
  </si>
  <si>
    <t>create pivot table and extract that data (not ideal)</t>
  </si>
  <si>
    <t>Determine ALL meta data first (boj,spans,girders,stations,cases)</t>
  </si>
  <si>
    <t>(would have to have two massive loops? Maybe can paste straight from arrays. lots of memeory usage)</t>
  </si>
  <si>
    <t>go through table 1 by 1 sort into intermediate arrya sand then sort into tables (combo of 1 and 2)</t>
  </si>
  <si>
    <t>(probably the slowest fastest,)</t>
  </si>
  <si>
    <t>BridgeCut</t>
  </si>
  <si>
    <t>Span</t>
  </si>
  <si>
    <t>Girder</t>
  </si>
  <si>
    <t>GirderDist</t>
  </si>
  <si>
    <t>LocType</t>
  </si>
  <si>
    <t>OutputCase</t>
  </si>
  <si>
    <t>CaseType</t>
  </si>
  <si>
    <t>StepType</t>
  </si>
  <si>
    <t>P</t>
  </si>
  <si>
    <t>V2</t>
  </si>
  <si>
    <t>V3</t>
  </si>
  <si>
    <t>T</t>
  </si>
  <si>
    <t>M2</t>
  </si>
  <si>
    <t>M3</t>
  </si>
  <si>
    <t>GlobalX</t>
  </si>
  <si>
    <t>GlobalY</t>
  </si>
  <si>
    <t>GlobalZ</t>
  </si>
  <si>
    <t>BridgeObj</t>
  </si>
  <si>
    <t>BOBJ1</t>
  </si>
  <si>
    <t>Span 1</t>
  </si>
  <si>
    <t>After</t>
  </si>
  <si>
    <t>LinStatic</t>
  </si>
  <si>
    <t>Before</t>
  </si>
  <si>
    <t>Span 3</t>
  </si>
  <si>
    <t>Span 2</t>
  </si>
  <si>
    <t>Number of Spans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</si>
</sst>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3" borderId="0" xfId="0" applyFont="1" applyFill="1"/>
    <xf numFmtId="0" fontId="1" fillId="0" borderId="0" xfId="0" applyFont="1"/>
    <xf numFmtId="0" fontId="1" fillId="4" borderId="1" xfId="0" applyFont="1" applyFill="1" applyBorder="1"/>
    <xf numFmtId="2" fontId="0" fillId="0" borderId="0" xfId="0" applyNumberFormat="1"/>
    <xf numFmtId="2" fontId="1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348672"/>
        <c:axId val="2089351392"/>
      </c:scatterChart>
      <c:valAx>
        <c:axId val="2089348672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351392"/>
        <c:crosses val="autoZero"/>
        <c:crossBetween val="midCat"/>
      </c:valAx>
      <c:valAx>
        <c:axId val="20893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34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808336"/>
        <c:axId val="2079812144"/>
      </c:scatterChart>
      <c:valAx>
        <c:axId val="2079808336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812144"/>
        <c:crosses val="autoZero"/>
        <c:crossBetween val="midCat"/>
      </c:valAx>
      <c:valAx>
        <c:axId val="20798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80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809424"/>
        <c:axId val="2089549040"/>
      </c:scatterChart>
      <c:valAx>
        <c:axId val="2079809424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549040"/>
        <c:crosses val="autoZero"/>
        <c:crossBetween val="midCat"/>
      </c:valAx>
      <c:valAx>
        <c:axId val="208954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80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'[1]Simplified Analysis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836160"/>
        <c:axId val="2097838880"/>
      </c:scatterChart>
      <c:valAx>
        <c:axId val="2097836160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38880"/>
        <c:crosses val="autoZero"/>
        <c:crossBetween val="midCat"/>
      </c:valAx>
      <c:valAx>
        <c:axId val="20978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3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Simplified Analysis Moments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 Moment</c:v>
          </c:tx>
          <c:marker>
            <c:symbol val="none"/>
          </c:marker>
          <c:dPt>
            <c:idx val="113"/>
            <c:bubble3D val="0"/>
          </c:dPt>
          <c:dPt>
            <c:idx val="1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97"/>
            <c:bubble3D val="0"/>
          </c:dPt>
          <c:xVal>
            <c:numRef>
              <c:f>'[1]Simplfied Analysis 2'!$D$18:$D$215</c:f>
              <c:numCache>
                <c:formatCode>General</c:formatCode>
                <c:ptCount val="198"/>
              </c:numCache>
            </c:numRef>
          </c:xVal>
          <c:yVal>
            <c:numRef>
              <c:f>'[1]Simplfied Analysis 2'!$E$18:$E$215</c:f>
              <c:numCache>
                <c:formatCode>General</c:formatCode>
                <c:ptCount val="198"/>
              </c:numCache>
            </c:numRef>
          </c:yVal>
          <c:smooth val="1"/>
        </c:ser>
        <c:ser>
          <c:idx val="1"/>
          <c:order val="1"/>
          <c:tx>
            <c:v>Min Moment</c:v>
          </c:tx>
          <c:marker>
            <c:symbol val="none"/>
          </c:marker>
          <c:dPt>
            <c:idx val="113"/>
            <c:bubble3D val="0"/>
          </c:dPt>
          <c:dPt>
            <c:idx val="1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97"/>
            <c:bubble3D val="0"/>
          </c:dPt>
          <c:xVal>
            <c:numRef>
              <c:f>'[1]Simplfied Analysis 2'!$D$18:$D$215</c:f>
              <c:numCache>
                <c:formatCode>General</c:formatCode>
                <c:ptCount val="198"/>
              </c:numCache>
            </c:numRef>
          </c:xVal>
          <c:yVal>
            <c:numRef>
              <c:f>'[1]Simplfied Analysis 2'!$F$18:$F$215</c:f>
              <c:numCache>
                <c:formatCode>General</c:formatCode>
                <c:ptCount val="19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513904"/>
        <c:axId val="2098514448"/>
      </c:scatterChart>
      <c:valAx>
        <c:axId val="209851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Station (m)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8514448"/>
        <c:crosses val="autoZero"/>
        <c:crossBetween val="midCat"/>
      </c:valAx>
      <c:valAx>
        <c:axId val="209851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Moment (kN-m)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85139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Simplified Analysis Shears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Max Shear</c:v>
          </c:tx>
          <c:marker>
            <c:symbol val="none"/>
          </c:marker>
          <c:dPt>
            <c:idx val="113"/>
            <c:bubble3D val="0"/>
          </c:dPt>
          <c:dPt>
            <c:idx val="1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97"/>
            <c:bubble3D val="0"/>
          </c:dPt>
          <c:xVal>
            <c:numRef>
              <c:f>'[1]Simplfied Analysis 2'!$D$18:$D$215</c:f>
              <c:numCache>
                <c:formatCode>General</c:formatCode>
                <c:ptCount val="198"/>
              </c:numCache>
            </c:numRef>
          </c:xVal>
          <c:yVal>
            <c:numRef>
              <c:f>'[1]Simplfied Analysis 2'!$G$18:$G$215</c:f>
              <c:numCache>
                <c:formatCode>General</c:formatCode>
                <c:ptCount val="198"/>
              </c:numCache>
            </c:numRef>
          </c:yVal>
          <c:smooth val="1"/>
        </c:ser>
        <c:ser>
          <c:idx val="1"/>
          <c:order val="1"/>
          <c:tx>
            <c:v>Min Shear</c:v>
          </c:tx>
          <c:marker>
            <c:symbol val="none"/>
          </c:marker>
          <c:dPt>
            <c:idx val="113"/>
            <c:bubble3D val="0"/>
          </c:dPt>
          <c:dPt>
            <c:idx val="143"/>
            <c:marker>
              <c:symbol val="diamond"/>
              <c:size val="10"/>
              <c:spPr>
                <a:solidFill>
                  <a:srgbClr val="FF0000"/>
                </a:solidFill>
              </c:spPr>
            </c:marker>
            <c:bubble3D val="0"/>
          </c:dPt>
          <c:dPt>
            <c:idx val="197"/>
            <c:bubble3D val="0"/>
          </c:dPt>
          <c:xVal>
            <c:numRef>
              <c:f>'[1]Simplfied Analysis 2'!$D$18:$D$215</c:f>
              <c:numCache>
                <c:formatCode>General</c:formatCode>
                <c:ptCount val="198"/>
              </c:numCache>
            </c:numRef>
          </c:xVal>
          <c:yVal>
            <c:numRef>
              <c:f>'[1]Simplfied Analysis 2'!$H$18:$H$215</c:f>
              <c:numCache>
                <c:formatCode>General</c:formatCode>
                <c:ptCount val="19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512272"/>
        <c:axId val="2098511184"/>
      </c:scatterChart>
      <c:valAx>
        <c:axId val="209851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Station (m)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8511184"/>
        <c:crosses val="autoZero"/>
        <c:crossBetween val="midCat"/>
      </c:valAx>
      <c:valAx>
        <c:axId val="209851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Shear (kN)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8512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480060</xdr:colOff>
      <xdr:row>9</xdr:row>
      <xdr:rowOff>106680</xdr:rowOff>
    </xdr:from>
    <xdr:to>
      <xdr:col>22</xdr:col>
      <xdr:colOff>175260</xdr:colOff>
      <xdr:row>24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480060</xdr:colOff>
      <xdr:row>27</xdr:row>
      <xdr:rowOff>106680</xdr:rowOff>
    </xdr:from>
    <xdr:to>
      <xdr:col>22</xdr:col>
      <xdr:colOff>175260</xdr:colOff>
      <xdr:row>42</xdr:row>
      <xdr:rowOff>106680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50</xdr:row>
      <xdr:rowOff>106680</xdr:rowOff>
    </xdr:from>
    <xdr:to>
      <xdr:col>22</xdr:col>
      <xdr:colOff>175260</xdr:colOff>
      <xdr:row>65</xdr:row>
      <xdr:rowOff>106680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480060</xdr:colOff>
      <xdr:row>68</xdr:row>
      <xdr:rowOff>106681</xdr:rowOff>
    </xdr:from>
    <xdr:to>
      <xdr:col>22</xdr:col>
      <xdr:colOff>175260</xdr:colOff>
      <xdr:row>83</xdr:row>
      <xdr:rowOff>106681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274320</xdr:colOff>
      <xdr:row>20</xdr:row>
      <xdr:rowOff>152400</xdr:rowOff>
    </xdr:from>
    <xdr:to>
      <xdr:col>22</xdr:col>
      <xdr:colOff>548640</xdr:colOff>
      <xdr:row>41</xdr:row>
      <xdr:rowOff>121920</xdr:rowOff>
    </xdr:to>
    <xdr:graphicFrame macro="">
      <xdr:nvGraphicFramePr>
        <xdr:cNvPr id="2" name="Moment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274320</xdr:colOff>
      <xdr:row>41</xdr:row>
      <xdr:rowOff>121920</xdr:rowOff>
    </xdr:from>
    <xdr:to>
      <xdr:col>22</xdr:col>
      <xdr:colOff>548640</xdr:colOff>
      <xdr:row>62</xdr:row>
      <xdr:rowOff>91440</xdr:rowOff>
    </xdr:to>
    <xdr:graphicFrame macro="">
      <xdr:nvGraphicFramePr>
        <xdr:cNvPr id="3" name="Shear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ROJECTS\DRAFT\2018\188783%20-%20Hoople%20Creek%20Bridge%20Rehabilitation\5%20-%20Detailed%20Design\Model\simplified%20analysis%20(Concrete%20Barrier%20Wal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aw Data"/>
      <sheetName val="Refined Data"/>
      <sheetName val="Simplified Analysis 1"/>
      <sheetName val="Simplfied Analysis 2"/>
    </sheetNames>
    <sheetDataSet>
      <sheetData sheetId="0" refreshError="1"/>
      <sheetData sheetId="1" refreshError="1"/>
      <sheetData sheetId="2" refreshError="1"/>
      <sheetData sheetId="3"/>
      <sheetData sheetId="4"/>
    </sheetDataSet>
  </externalBook>
</externalLink>
</file>

<file path=xl/tables/table1.xml><?xml version="1.0" encoding="utf-8"?>
<table xmlns="http://schemas.openxmlformats.org/spreadsheetml/2006/main" id="5" name="RawData_Table" displayName="RawData_Table" ref="C12:U19" totalsRowShown="0" headerRowCellStyle="Good" dataCellStyle="Good">
  <autoFilter ref="C12:U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9" name="BridgeObj" dataCellStyle="Normal"/>
    <tableColumn id="1" name="BridgeCut" dataCellStyle="Normal"/>
    <tableColumn id="2" name="Station" dataCellStyle="Normal"/>
    <tableColumn id="3" name="Span" dataCellStyle="Normal"/>
    <tableColumn id="4" name="Girder" dataCellStyle="Normal"/>
    <tableColumn id="5" name="GirderDist" dataCellStyle="Normal"/>
    <tableColumn id="6" name="LocType" dataCellStyle="Normal"/>
    <tableColumn id="7" name="OutputCase" dataCellStyle="Normal"/>
    <tableColumn id="8" name="CaseType" dataCellStyle="Normal"/>
    <tableColumn id="9" name="StepType" dataCellStyle="Normal"/>
    <tableColumn id="10" name="P" dataCellStyle="Normal"/>
    <tableColumn id="11" name="V2" dataCellStyle="Normal"/>
    <tableColumn id="12" name="V3" dataCellStyle="Normal"/>
    <tableColumn id="13" name="T" dataCellStyle="Normal"/>
    <tableColumn id="14" name="M2" dataCellStyle="Normal"/>
    <tableColumn id="15" name="M3" dataCellStyle="Normal"/>
    <tableColumn id="16" name="GlobalX" dataCellStyle="Normal"/>
    <tableColumn id="17" name="GlobalY" dataCellStyle="Normal"/>
    <tableColumn id="18" name="GlobalZ" dataCellStyle="Normal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_1_Moment" displayName="_1_Moment" ref="C12:L25" totalsRowShown="0">
  <autoFilter ref="C12:L2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Stations"/>
    <tableColumn id="2" name="BARRIER"/>
    <tableColumn id="3" name="CL-625-ON (Max)"/>
    <tableColumn id="4" name="CL-625-ON (Min)"/>
    <tableColumn id="5" name="DEAD"/>
    <tableColumn id="6" name="SAFTEY_CURB"/>
    <tableColumn id="7" name="SIDEWALK"/>
    <tableColumn id="8" name="WEARING_SURFACE"/>
    <tableColumn id="9" name="TOTAL (Max)">
      <calculatedColumnFormula>SUM(D13+E13+G13+H13+I13+J13)</calculatedColumnFormula>
    </tableColumn>
    <tableColumn id="10" name="TOTAL (Min)">
      <calculatedColumnFormula>SUM(D13+F13+G13+H13+I13+J13)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_1_Shear" displayName="_1_Shear" ref="C30:L43" totalsRowShown="0">
  <autoFilter ref="C30:L43"/>
  <tableColumns count="10">
    <tableColumn id="1" name="Stations"/>
    <tableColumn id="2" name="BARRIER"/>
    <tableColumn id="3" name="CL-625-ON (Max)"/>
    <tableColumn id="4" name="CL-625-ON (Min)"/>
    <tableColumn id="5" name="DEAD"/>
    <tableColumn id="6" name="SAFTEY_CURB"/>
    <tableColumn id="7" name="SIDEWALK"/>
    <tableColumn id="8" name="WEARING_SURFACE"/>
    <tableColumn id="9" name="TOTAL (Max)">
      <calculatedColumnFormula>SUM(D31+E31+G31+H31+I31+J31)</calculatedColumnFormula>
    </tableColumn>
    <tableColumn id="10" name="TOTAL (Min)">
      <calculatedColumnFormula>SUM(D31+F31+G31+H31+I31+J31)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_2_Moment" displayName="_2_Moment" ref="C54:L67" totalsRowShown="0">
  <autoFilter ref="C54:L67"/>
  <tableColumns count="10">
    <tableColumn id="1" name="Stations"/>
    <tableColumn id="2" name="BARRIER"/>
    <tableColumn id="3" name="CL-625-ON (Max)"/>
    <tableColumn id="4" name="CL-625-ON (Min)"/>
    <tableColumn id="5" name="DEAD"/>
    <tableColumn id="6" name="SAFTEY_CURB"/>
    <tableColumn id="7" name="SIDEWALK"/>
    <tableColumn id="8" name="WEARING_SURFACE"/>
    <tableColumn id="9" name="TOTAL (Max)">
      <calculatedColumnFormula>SUM(D55+E55+G55+H55+I55+J55)</calculatedColumnFormula>
    </tableColumn>
    <tableColumn id="10" name="TOTAL (Min)">
      <calculatedColumnFormula>SUM(D55+F55+G55+H55+I55+J55)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_2_Shear" displayName="_2_Shear" ref="C72:L85" totalsRowShown="0">
  <autoFilter ref="C72:L85"/>
  <tableColumns count="10">
    <tableColumn id="1" name="Stations"/>
    <tableColumn id="2" name="BARRIER"/>
    <tableColumn id="3" name="CL-625-ON (Max)"/>
    <tableColumn id="4" name="CL-625-ON (Min)"/>
    <tableColumn id="5" name="DEAD"/>
    <tableColumn id="6" name="SAFTEY_CURB"/>
    <tableColumn id="7" name="SIDEWALK"/>
    <tableColumn id="8" name="WEARING_SURFACE"/>
    <tableColumn id="9" name="TOTAL (Max)">
      <calculatedColumnFormula>SUM(D73+E73+G73+H73+I73+J73)</calculatedColumnFormula>
    </tableColumn>
    <tableColumn id="10" name="TOTAL (Min)">
      <calculatedColumnFormula>SUM(D73+F73+G73+H73+I73+J73)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1" name="SimplifiedAnalysisTable" displayName="SimplifiedAnalysisTable" ref="C15:H140" totalsRowShown="0">
  <autoFilter ref="C15:H140"/>
  <tableColumns count="6">
    <tableColumn id="1" name="Frame"/>
    <tableColumn id="2" name="Stations"/>
    <tableColumn id="3" name="Moment (Max)"/>
    <tableColumn id="4" name="Moment (Min)"/>
    <tableColumn id="5" name="Shear (Max)"/>
    <tableColumn id="6" name="Shear (Min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2" name="Station_Analysis" displayName="Station_Analysis" ref="N10:S13" totalsRowShown="0" headerRowDxfId="0">
  <autoFilter ref="N10:S13"/>
  <tableColumns count="6">
    <tableColumn id="1" name="Location"/>
    <tableColumn id="2" name="Station"/>
    <tableColumn id="3" name="Max M"/>
    <tableColumn id="4" name="Min M"/>
    <tableColumn id="5" name="Max V"/>
    <tableColumn id="6" name="Min 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13"/>
  <sheetViews>
    <sheetView workbookViewId="0">
      <selection activeCell="B27" sqref="B27"/>
    </sheetView>
  </sheetViews>
  <sheetFormatPr defaultRowHeight="15" x14ac:dyDescent="0.25"/>
  <cols>
    <col min="2" max="2" width="17.7109375" customWidth="1"/>
  </cols>
  <sheetData>
    <row r="2" spans="2:17" x14ac:dyDescent="0.25">
      <c r="B2" t="s">
        <v>0</v>
      </c>
      <c r="G2" s="4" t="s">
        <v>38</v>
      </c>
    </row>
    <row r="3" spans="2:17" x14ac:dyDescent="0.25">
      <c r="B3" t="s">
        <v>1</v>
      </c>
      <c r="G3" t="s">
        <v>39</v>
      </c>
    </row>
    <row r="4" spans="2:17" x14ac:dyDescent="0.25">
      <c r="B4" t="s">
        <v>2</v>
      </c>
      <c r="G4" t="s">
        <v>40</v>
      </c>
    </row>
    <row r="5" spans="2:17" x14ac:dyDescent="0.25">
      <c r="B5" t="s">
        <v>3</v>
      </c>
      <c r="G5" t="s">
        <v>41</v>
      </c>
    </row>
    <row r="6" spans="2:17" x14ac:dyDescent="0.25">
      <c r="B6" t="s">
        <v>4</v>
      </c>
    </row>
    <row r="9" spans="2:17" x14ac:dyDescent="0.25">
      <c r="K9" s="4" t="s">
        <v>45</v>
      </c>
    </row>
    <row r="10" spans="2:17" x14ac:dyDescent="0.25">
      <c r="J10">
        <v>1</v>
      </c>
      <c r="K10" t="s">
        <v>42</v>
      </c>
      <c r="Q10" t="s">
        <v>46</v>
      </c>
    </row>
    <row r="11" spans="2:17" x14ac:dyDescent="0.25">
      <c r="J11">
        <v>2</v>
      </c>
      <c r="K11" t="s">
        <v>43</v>
      </c>
      <c r="Q11" t="s">
        <v>48</v>
      </c>
    </row>
    <row r="12" spans="2:17" x14ac:dyDescent="0.25">
      <c r="J12">
        <v>3</v>
      </c>
      <c r="K12" t="s">
        <v>47</v>
      </c>
    </row>
    <row r="13" spans="2:17" x14ac:dyDescent="0.25">
      <c r="J13">
        <v>4</v>
      </c>
      <c r="K13" t="s">
        <v>44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w"/>
  <dimension ref="C3:U19"/>
  <sheetViews>
    <sheetView tabSelected="1" workbookViewId="0">
      <selection activeCell="I4" sqref="I4"/>
    </sheetView>
  </sheetViews>
  <sheetFormatPr defaultRowHeight="15" x14ac:dyDescent="0.25"/>
  <cols>
    <col min="2" max="2" width="11.85546875" customWidth="1"/>
    <col min="3" max="3" width="9.42578125" customWidth="1"/>
    <col min="6" max="6" width="18.42578125" bestFit="1" customWidth="1"/>
    <col min="7" max="7" width="10.28515625" customWidth="1"/>
    <col min="8" max="8" width="13.5703125" customWidth="1"/>
    <col min="9" max="9" width="11.5703125" customWidth="1"/>
    <col min="10" max="10" width="11.42578125" customWidth="1"/>
    <col min="17" max="18" width="10.140625" customWidth="1"/>
    <col min="19" max="19" width="10" customWidth="1"/>
  </cols>
  <sheetData>
    <row r="3" spans="3:21" s="9" customFormat="1" x14ac:dyDescent="0.25">
      <c r="F3" s="9" t="s">
        <v>74</v>
      </c>
      <c r="G3">
        <f>SUMPRODUCT(--(FREQUENCY(MATCH(RawData_Table[Span],RawData_Table[Span],0),ROW(RawData_Table[Span])-ROW(F13)+1)&gt;0))</f>
        <v>3</v>
      </c>
    </row>
    <row r="4" spans="3:21" s="9" customFormat="1" x14ac:dyDescent="0.25"/>
    <row r="5" spans="3:21" s="9" customFormat="1" x14ac:dyDescent="0.25"/>
    <row r="6" spans="3:21" s="9" customFormat="1" x14ac:dyDescent="0.25"/>
    <row r="7" spans="3:21" s="9" customFormat="1" x14ac:dyDescent="0.25"/>
    <row r="8" spans="3:21" s="9" customFormat="1" x14ac:dyDescent="0.25"/>
    <row r="12" spans="3:21" x14ac:dyDescent="0.25">
      <c r="C12" s="9" t="s">
        <v>66</v>
      </c>
      <c r="D12" s="8" t="s">
        <v>49</v>
      </c>
      <c r="E12" s="8" t="s">
        <v>26</v>
      </c>
      <c r="F12" s="8" t="s">
        <v>50</v>
      </c>
      <c r="G12" s="8" t="s">
        <v>51</v>
      </c>
      <c r="H12" s="8" t="s">
        <v>52</v>
      </c>
      <c r="I12" s="8" t="s">
        <v>53</v>
      </c>
      <c r="J12" s="8" t="s">
        <v>54</v>
      </c>
      <c r="K12" s="8" t="s">
        <v>55</v>
      </c>
      <c r="L12" s="8" t="s">
        <v>56</v>
      </c>
      <c r="M12" s="8" t="s">
        <v>57</v>
      </c>
      <c r="N12" s="8" t="s">
        <v>58</v>
      </c>
      <c r="O12" s="8" t="s">
        <v>59</v>
      </c>
      <c r="P12" s="8" t="s">
        <v>60</v>
      </c>
      <c r="Q12" s="8" t="s">
        <v>61</v>
      </c>
      <c r="R12" s="8" t="s">
        <v>62</v>
      </c>
      <c r="S12" s="8" t="s">
        <v>63</v>
      </c>
      <c r="T12" s="8" t="s">
        <v>64</v>
      </c>
      <c r="U12" s="8" t="s">
        <v>65</v>
      </c>
    </row>
    <row r="13" spans="3:21" x14ac:dyDescent="0.25">
      <c r="C13" s="11" t="s">
        <v>67</v>
      </c>
      <c r="D13" s="10">
        <v>1</v>
      </c>
      <c r="E13" s="10">
        <v>0</v>
      </c>
      <c r="F13" s="11" t="s">
        <v>68</v>
      </c>
      <c r="G13" s="11" t="s">
        <v>20</v>
      </c>
      <c r="H13" s="10">
        <v>0</v>
      </c>
      <c r="I13" s="11" t="s">
        <v>69</v>
      </c>
      <c r="J13" s="11" t="s">
        <v>11</v>
      </c>
      <c r="K13" s="11" t="s">
        <v>70</v>
      </c>
      <c r="L13" s="10"/>
      <c r="M13" s="10">
        <v>0.63700000000000001</v>
      </c>
      <c r="N13" s="10">
        <v>-134.078</v>
      </c>
      <c r="O13" s="10">
        <v>-20.076000000000001</v>
      </c>
      <c r="P13" s="10">
        <v>-4.0548999999999999</v>
      </c>
      <c r="Q13" s="10">
        <v>-2.7124000000000001</v>
      </c>
      <c r="R13" s="10">
        <v>2.8727999999999998</v>
      </c>
      <c r="S13" s="10">
        <v>5.3190000000000002E-16</v>
      </c>
      <c r="T13" s="10">
        <v>4.3434999999999997</v>
      </c>
      <c r="U13" s="10">
        <v>-0.41513</v>
      </c>
    </row>
    <row r="14" spans="3:21" x14ac:dyDescent="0.25">
      <c r="C14" s="11" t="s">
        <v>67</v>
      </c>
      <c r="D14" s="10">
        <v>2</v>
      </c>
      <c r="E14" s="10">
        <v>1.35</v>
      </c>
      <c r="F14" s="11" t="s">
        <v>68</v>
      </c>
      <c r="G14" s="11" t="s">
        <v>20</v>
      </c>
      <c r="H14" s="10">
        <v>1.35</v>
      </c>
      <c r="I14" s="11" t="s">
        <v>71</v>
      </c>
      <c r="J14" s="11" t="s">
        <v>11</v>
      </c>
      <c r="K14" s="11" t="s">
        <v>70</v>
      </c>
      <c r="L14" s="10"/>
      <c r="M14" s="10">
        <v>2.9319999999999999</v>
      </c>
      <c r="N14" s="10">
        <v>-107.441</v>
      </c>
      <c r="O14" s="10">
        <v>-24.844000000000001</v>
      </c>
      <c r="P14" s="10">
        <v>-7.0277000000000003</v>
      </c>
      <c r="Q14" s="10">
        <v>25.180499999999999</v>
      </c>
      <c r="R14" s="10">
        <v>165.1464</v>
      </c>
      <c r="S14" s="10">
        <v>1.35</v>
      </c>
      <c r="T14" s="10">
        <v>4.3434999999999997</v>
      </c>
      <c r="U14" s="10">
        <v>-0.41513</v>
      </c>
    </row>
    <row r="15" spans="3:21" x14ac:dyDescent="0.25">
      <c r="C15" s="11" t="s">
        <v>67</v>
      </c>
      <c r="D15" s="10">
        <v>3</v>
      </c>
      <c r="E15" s="10">
        <v>1.35</v>
      </c>
      <c r="F15" s="11" t="s">
        <v>68</v>
      </c>
      <c r="G15" s="11" t="s">
        <v>20</v>
      </c>
      <c r="H15" s="10">
        <v>1.35</v>
      </c>
      <c r="I15" s="11" t="s">
        <v>69</v>
      </c>
      <c r="J15" s="11" t="s">
        <v>11</v>
      </c>
      <c r="K15" s="11" t="s">
        <v>70</v>
      </c>
      <c r="L15" s="10"/>
      <c r="M15" s="10">
        <v>5.5010000000000003</v>
      </c>
      <c r="N15" s="10">
        <v>-107.38800000000001</v>
      </c>
      <c r="O15" s="10">
        <v>-21.709</v>
      </c>
      <c r="P15" s="10">
        <v>-4.8814000000000002</v>
      </c>
      <c r="Q15" s="10">
        <v>21.450900000000001</v>
      </c>
      <c r="R15" s="10">
        <v>164.3048</v>
      </c>
      <c r="S15" s="10">
        <v>1.35</v>
      </c>
      <c r="T15" s="10">
        <v>4.3434999999999997</v>
      </c>
      <c r="U15" s="10">
        <v>-0.41513</v>
      </c>
    </row>
    <row r="16" spans="3:21" x14ac:dyDescent="0.25">
      <c r="C16" s="11" t="s">
        <v>67</v>
      </c>
      <c r="D16" s="10">
        <v>4</v>
      </c>
      <c r="E16" s="10">
        <v>2.7</v>
      </c>
      <c r="F16" s="11" t="s">
        <v>68</v>
      </c>
      <c r="G16" s="11" t="s">
        <v>20</v>
      </c>
      <c r="H16" s="10">
        <v>2.7</v>
      </c>
      <c r="I16" s="11" t="s">
        <v>71</v>
      </c>
      <c r="J16" s="11" t="s">
        <v>11</v>
      </c>
      <c r="K16" s="11" t="s">
        <v>70</v>
      </c>
      <c r="L16" s="10"/>
      <c r="M16" s="10">
        <v>8.9849999999999994</v>
      </c>
      <c r="N16" s="10">
        <v>-80.697999999999993</v>
      </c>
      <c r="O16" s="10">
        <v>-19.498000000000001</v>
      </c>
      <c r="P16" s="10">
        <v>-5.6470000000000002</v>
      </c>
      <c r="Q16" s="10">
        <v>44.944099999999999</v>
      </c>
      <c r="R16" s="10">
        <v>290.12419999999997</v>
      </c>
      <c r="S16" s="10">
        <v>2.7</v>
      </c>
      <c r="T16" s="10">
        <v>4.3434999999999997</v>
      </c>
      <c r="U16" s="10">
        <v>-0.41513</v>
      </c>
    </row>
    <row r="17" spans="3:21" x14ac:dyDescent="0.25">
      <c r="C17" s="11" t="s">
        <v>67</v>
      </c>
      <c r="D17" s="10">
        <v>5</v>
      </c>
      <c r="E17" s="10">
        <v>2.7</v>
      </c>
      <c r="F17" s="11" t="s">
        <v>73</v>
      </c>
      <c r="G17" s="11" t="s">
        <v>20</v>
      </c>
      <c r="H17" s="10">
        <v>2.7</v>
      </c>
      <c r="I17" s="11" t="s">
        <v>69</v>
      </c>
      <c r="J17" s="11" t="s">
        <v>11</v>
      </c>
      <c r="K17" s="11" t="s">
        <v>70</v>
      </c>
      <c r="L17" s="10"/>
      <c r="M17" s="10">
        <v>11.419</v>
      </c>
      <c r="N17" s="10">
        <v>-80.591999999999999</v>
      </c>
      <c r="O17" s="10">
        <v>-16.693999999999999</v>
      </c>
      <c r="P17" s="10">
        <v>-3.6392000000000002</v>
      </c>
      <c r="Q17" s="10">
        <v>41.331000000000003</v>
      </c>
      <c r="R17" s="10">
        <v>289.32670000000002</v>
      </c>
      <c r="S17" s="10">
        <v>2.7</v>
      </c>
      <c r="T17" s="10">
        <v>4.3434999999999997</v>
      </c>
      <c r="U17" s="10">
        <v>-0.41513</v>
      </c>
    </row>
    <row r="18" spans="3:21" x14ac:dyDescent="0.25">
      <c r="C18" s="11" t="s">
        <v>67</v>
      </c>
      <c r="D18" s="10">
        <v>6</v>
      </c>
      <c r="E18" s="10">
        <v>4.05</v>
      </c>
      <c r="F18" s="11" t="s">
        <v>72</v>
      </c>
      <c r="G18" s="11" t="s">
        <v>20</v>
      </c>
      <c r="H18" s="10">
        <v>4.05</v>
      </c>
      <c r="I18" s="11" t="s">
        <v>71</v>
      </c>
      <c r="J18" s="11" t="s">
        <v>11</v>
      </c>
      <c r="K18" s="11" t="s">
        <v>70</v>
      </c>
      <c r="L18" s="10"/>
      <c r="M18" s="10">
        <v>14.074</v>
      </c>
      <c r="N18" s="10">
        <v>-53.862000000000002</v>
      </c>
      <c r="O18" s="10">
        <v>-14.249000000000001</v>
      </c>
      <c r="P18" s="10">
        <v>-4.3445999999999998</v>
      </c>
      <c r="Q18" s="10">
        <v>58.898299999999999</v>
      </c>
      <c r="R18" s="10">
        <v>379.21600000000001</v>
      </c>
      <c r="S18" s="10">
        <v>4.05</v>
      </c>
      <c r="T18" s="10">
        <v>4.3434999999999997</v>
      </c>
      <c r="U18" s="10">
        <v>-0.41513</v>
      </c>
    </row>
    <row r="19" spans="3:21" x14ac:dyDescent="0.25">
      <c r="C19" s="11" t="s">
        <v>67</v>
      </c>
      <c r="D19" s="10">
        <v>7</v>
      </c>
      <c r="E19" s="10">
        <v>4.05</v>
      </c>
      <c r="F19" s="11" t="s">
        <v>68</v>
      </c>
      <c r="G19" s="11" t="s">
        <v>22</v>
      </c>
      <c r="H19" s="10">
        <v>4.05</v>
      </c>
      <c r="I19" s="11" t="s">
        <v>69</v>
      </c>
      <c r="J19" s="11" t="s">
        <v>11</v>
      </c>
      <c r="K19" s="11" t="s">
        <v>70</v>
      </c>
      <c r="L19" s="10"/>
      <c r="M19" s="10">
        <v>15.808999999999999</v>
      </c>
      <c r="N19" s="10">
        <v>-53.725999999999999</v>
      </c>
      <c r="O19" s="10">
        <v>-10.968999999999999</v>
      </c>
      <c r="P19" s="10">
        <v>-2.1863000000000001</v>
      </c>
      <c r="Q19" s="10">
        <v>56.325000000000003</v>
      </c>
      <c r="R19" s="10">
        <v>378.64800000000002</v>
      </c>
      <c r="S19" s="10">
        <v>4.05</v>
      </c>
      <c r="T19" s="10">
        <v>4.3434999999999997</v>
      </c>
      <c r="U19" s="10">
        <v>-0.41513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L85"/>
  <sheetViews>
    <sheetView zoomScale="102" zoomScaleNormal="102" workbookViewId="0">
      <selection activeCell="B35" sqref="B35"/>
    </sheetView>
  </sheetViews>
  <sheetFormatPr defaultRowHeight="15" x14ac:dyDescent="0.25"/>
  <cols>
    <col min="3" max="3" width="10.42578125" customWidth="1"/>
    <col min="4" max="4" width="11.7109375" bestFit="1" customWidth="1"/>
    <col min="5" max="5" width="17.7109375" bestFit="1" customWidth="1"/>
    <col min="6" max="6" width="17.42578125" bestFit="1" customWidth="1"/>
    <col min="7" max="7" width="9.7109375" bestFit="1" customWidth="1"/>
    <col min="8" max="8" width="14.42578125" customWidth="1"/>
    <col min="9" max="9" width="10.42578125" customWidth="1"/>
    <col min="10" max="10" width="15.140625" customWidth="1"/>
    <col min="11" max="11" width="17.42578125" customWidth="1"/>
    <col min="12" max="12" width="18.28515625" customWidth="1"/>
  </cols>
  <sheetData>
    <row r="5" spans="3:12" s="2" customFormat="1" ht="28.5" x14ac:dyDescent="0.45">
      <c r="C5" s="1" t="s">
        <v>20</v>
      </c>
    </row>
    <row r="10" spans="3:12" x14ac:dyDescent="0.25">
      <c r="C10" t="s">
        <v>5</v>
      </c>
    </row>
    <row r="11" spans="3:12" x14ac:dyDescent="0.25">
      <c r="C11" s="3" t="s">
        <v>6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/>
      <c r="L11" s="3"/>
    </row>
    <row r="12" spans="3:12" x14ac:dyDescent="0.25">
      <c r="C12" t="s">
        <v>7</v>
      </c>
      <c r="D12" t="s">
        <v>8</v>
      </c>
      <c r="E12" t="s">
        <v>9</v>
      </c>
      <c r="F12" t="s">
        <v>10</v>
      </c>
      <c r="G12" t="s">
        <v>11</v>
      </c>
      <c r="H12" t="s">
        <v>12</v>
      </c>
      <c r="I12" t="s">
        <v>13</v>
      </c>
      <c r="J12" t="s">
        <v>14</v>
      </c>
      <c r="K12" t="s">
        <v>15</v>
      </c>
      <c r="L12" t="s">
        <v>16</v>
      </c>
    </row>
    <row r="13" spans="3:12" x14ac:dyDescent="0.25">
      <c r="C13">
        <v>0</v>
      </c>
      <c r="D13">
        <f>0*D11</f>
        <v>0</v>
      </c>
      <c r="E13" t="e">
        <f>0*E11*#REF!*#REF!</f>
        <v>#REF!</v>
      </c>
      <c r="F13" t="e">
        <f>0*F11*#REF!*#REF!</f>
        <v>#REF!</v>
      </c>
      <c r="G13">
        <f>0*G11</f>
        <v>0</v>
      </c>
      <c r="H13">
        <f>-0.000000000000007105*H11</f>
        <v>-7.1050000000000001E-15</v>
      </c>
      <c r="I13">
        <f>0.00000000000001421*I11</f>
        <v>1.421E-14</v>
      </c>
      <c r="J13">
        <f>-0.00000000000002842*J11</f>
        <v>-2.842E-14</v>
      </c>
      <c r="K13" t="e">
        <f t="shared" ref="K13:K25" si="0">SUM(D13+E13+G13+H13+I13+J13)</f>
        <v>#REF!</v>
      </c>
      <c r="L13" t="e">
        <f t="shared" ref="L13:L25" si="1">SUM(D13+F13+G13+H13+I13+J13)</f>
        <v>#REF!</v>
      </c>
    </row>
    <row r="14" spans="3:12" x14ac:dyDescent="0.25">
      <c r="C14">
        <v>0.48237999999999998</v>
      </c>
      <c r="D14">
        <f>0.2519*D11</f>
        <v>0.25190000000000001</v>
      </c>
      <c r="E14" t="e">
        <f>133.8948*E11*#REF!*#REF!</f>
        <v>#REF!</v>
      </c>
      <c r="F14" t="e">
        <f>-29.2906*F11*#REF!*#REF!</f>
        <v>#REF!</v>
      </c>
      <c r="G14">
        <f>24.2803*G11</f>
        <v>24.2803</v>
      </c>
      <c r="H14">
        <f>1.7296*H11</f>
        <v>1.7296</v>
      </c>
      <c r="I14">
        <f>3.3584*I11</f>
        <v>3.3584000000000001</v>
      </c>
      <c r="J14">
        <f>3.5599*J11</f>
        <v>3.5598999999999998</v>
      </c>
      <c r="K14" t="e">
        <f t="shared" si="0"/>
        <v>#REF!</v>
      </c>
      <c r="L14" t="e">
        <f t="shared" si="1"/>
        <v>#REF!</v>
      </c>
    </row>
    <row r="15" spans="3:12" x14ac:dyDescent="0.25">
      <c r="C15">
        <v>0.96475</v>
      </c>
      <c r="D15">
        <f>0.4689*D11</f>
        <v>0.46889999999999998</v>
      </c>
      <c r="E15" t="e">
        <f>247.2536*E11*#REF!*#REF!</f>
        <v>#REF!</v>
      </c>
      <c r="F15" t="e">
        <f>-58.5813*F11*#REF!*#REF!</f>
        <v>#REF!</v>
      </c>
      <c r="G15">
        <f>45.5737*G11</f>
        <v>45.573700000000002</v>
      </c>
      <c r="H15">
        <f>3.2195*H11</f>
        <v>3.2195</v>
      </c>
      <c r="I15">
        <f>6.2515*I11</f>
        <v>6.2515000000000001</v>
      </c>
      <c r="J15">
        <f>6.6266*J11</f>
        <v>6.6265999999999998</v>
      </c>
      <c r="K15" t="e">
        <f t="shared" si="0"/>
        <v>#REF!</v>
      </c>
      <c r="L15" t="e">
        <f t="shared" si="1"/>
        <v>#REF!</v>
      </c>
    </row>
    <row r="16" spans="3:12" x14ac:dyDescent="0.25">
      <c r="C16">
        <v>1.44713</v>
      </c>
      <c r="D16">
        <f>0.6509*D11</f>
        <v>0.65090000000000003</v>
      </c>
      <c r="E16" t="e">
        <f>340.807*E11*#REF!*#REF!</f>
        <v>#REF!</v>
      </c>
      <c r="F16" t="e">
        <f>-87.8719*F11*#REF!*#REF!</f>
        <v>#REF!</v>
      </c>
      <c r="G16">
        <f>63.872*G11</f>
        <v>63.872</v>
      </c>
      <c r="H16">
        <f>4.4698*H11</f>
        <v>4.4698000000000002</v>
      </c>
      <c r="I16">
        <f>8.6792*I11</f>
        <v>8.6791999999999998</v>
      </c>
      <c r="J16">
        <f>9.2*J11</f>
        <v>9.1999999999999993</v>
      </c>
      <c r="K16" t="e">
        <f t="shared" si="0"/>
        <v>#REF!</v>
      </c>
      <c r="L16" t="e">
        <f t="shared" si="1"/>
        <v>#REF!</v>
      </c>
    </row>
    <row r="17" spans="3:12" x14ac:dyDescent="0.25">
      <c r="C17">
        <v>1.5692299999999999</v>
      </c>
      <c r="D17">
        <f>0.6915*D11</f>
        <v>0.6915</v>
      </c>
      <c r="E17" t="e">
        <f>352.4686*E11*#REF!*#REF!</f>
        <v>#REF!</v>
      </c>
      <c r="F17" t="e">
        <f>-95.2863*F11*#REF!*#REF!</f>
        <v>#REF!</v>
      </c>
      <c r="G17">
        <f>68.0278*G11</f>
        <v>68.027799999999999</v>
      </c>
      <c r="H17">
        <f>4.7483*H11</f>
        <v>4.7483000000000004</v>
      </c>
      <c r="I17">
        <f>9.2199*I11</f>
        <v>9.2199000000000009</v>
      </c>
      <c r="J17">
        <f>9.7731*J11</f>
        <v>9.7730999999999995</v>
      </c>
      <c r="K17" t="e">
        <f t="shared" si="0"/>
        <v>#REF!</v>
      </c>
      <c r="L17" t="e">
        <f t="shared" si="1"/>
        <v>#REF!</v>
      </c>
    </row>
    <row r="18" spans="3:12" x14ac:dyDescent="0.25">
      <c r="C18">
        <v>1.9295</v>
      </c>
      <c r="D18">
        <f>0.7981*D11</f>
        <v>0.79810000000000003</v>
      </c>
      <c r="E18" t="e">
        <f>415.3831*E11*#REF!*#REF!</f>
        <v>#REF!</v>
      </c>
      <c r="F18" t="e">
        <f>-117.1626*F11*#REF!*#REF!</f>
        <v>#REF!</v>
      </c>
      <c r="G18">
        <f>79.1646*G11</f>
        <v>79.164599999999993</v>
      </c>
      <c r="H18">
        <f>5.4804*H11</f>
        <v>5.4804000000000004</v>
      </c>
      <c r="I18">
        <f>10.6415*I11</f>
        <v>10.641500000000001</v>
      </c>
      <c r="J18">
        <f>11.28*J11</f>
        <v>11.28</v>
      </c>
      <c r="K18" t="e">
        <f t="shared" si="0"/>
        <v>#REF!</v>
      </c>
      <c r="L18" t="e">
        <f t="shared" si="1"/>
        <v>#REF!</v>
      </c>
    </row>
    <row r="19" spans="3:12" x14ac:dyDescent="0.25">
      <c r="C19">
        <v>2.41188</v>
      </c>
      <c r="D19">
        <f>0.9104*D11</f>
        <v>0.91039999999999999</v>
      </c>
      <c r="E19" t="e">
        <f>473.414*E11*#REF!*#REF!</f>
        <v>#REF!</v>
      </c>
      <c r="F19" t="e">
        <f>-146.4532*F11*#REF!*#REF!</f>
        <v>#REF!</v>
      </c>
      <c r="G19">
        <f>91.4203*G11</f>
        <v>91.420299999999997</v>
      </c>
      <c r="H19">
        <f>6.2513*H11</f>
        <v>6.2512999999999996</v>
      </c>
      <c r="I19">
        <f>12.1385*I11</f>
        <v>12.138500000000001</v>
      </c>
      <c r="J19">
        <f>12.8668*J11</f>
        <v>12.8668</v>
      </c>
      <c r="K19" t="e">
        <f t="shared" si="0"/>
        <v>#REF!</v>
      </c>
      <c r="L19" t="e">
        <f t="shared" si="1"/>
        <v>#REF!</v>
      </c>
    </row>
    <row r="20" spans="3:12" x14ac:dyDescent="0.25">
      <c r="C20">
        <v>2.68154</v>
      </c>
      <c r="D20">
        <f>0.9579*D11</f>
        <v>0.95789999999999997</v>
      </c>
      <c r="E20" t="e">
        <f>488.5918*E11*#REF!*#REF!</f>
        <v>#REF!</v>
      </c>
      <c r="F20" t="e">
        <f>-162.8275*F11*#REF!*#REF!</f>
        <v>#REF!</v>
      </c>
      <c r="G20">
        <f>96.9324*G11</f>
        <v>96.932400000000001</v>
      </c>
      <c r="H20">
        <f>6.5779*H11</f>
        <v>6.5778999999999996</v>
      </c>
      <c r="I20">
        <f>12.7725*I11</f>
        <v>12.772500000000001</v>
      </c>
      <c r="J20">
        <f>13.5389*J11</f>
        <v>13.5389</v>
      </c>
      <c r="K20" t="e">
        <f t="shared" si="0"/>
        <v>#REF!</v>
      </c>
      <c r="L20" t="e">
        <f t="shared" si="1"/>
        <v>#REF!</v>
      </c>
    </row>
    <row r="21" spans="3:12" x14ac:dyDescent="0.25">
      <c r="C21">
        <v>2.89425</v>
      </c>
      <c r="D21">
        <f>0.9878*D11</f>
        <v>0.98780000000000001</v>
      </c>
      <c r="E21" t="e">
        <f>521.4635*E11*#REF!*#REF!</f>
        <v>#REF!</v>
      </c>
      <c r="F21" t="e">
        <f>-175.7438*F11*#REF!*#REF!</f>
        <v>#REF!</v>
      </c>
      <c r="G21">
        <f>100.5964*G11</f>
        <v>100.5964</v>
      </c>
      <c r="H21">
        <f>6.7826*H11</f>
        <v>6.7826000000000004</v>
      </c>
      <c r="I21">
        <f>13.1701*I11</f>
        <v>13.1701</v>
      </c>
      <c r="J21">
        <f>13.9603*J11</f>
        <v>13.9603</v>
      </c>
      <c r="K21" t="e">
        <f t="shared" si="0"/>
        <v>#REF!</v>
      </c>
      <c r="L21" t="e">
        <f t="shared" si="1"/>
        <v>#REF!</v>
      </c>
    </row>
    <row r="22" spans="3:12" x14ac:dyDescent="0.25">
      <c r="C22">
        <v>3.37663</v>
      </c>
      <c r="D22">
        <f>1.0302*D11</f>
        <v>1.0302</v>
      </c>
      <c r="E22" t="e">
        <f>555.8524*E11*#REF!*#REF!</f>
        <v>#REF!</v>
      </c>
      <c r="F22" t="e">
        <f>-205.0345*F11*#REF!*#REF!</f>
        <v>#REF!</v>
      </c>
      <c r="G22">
        <f>106.6421*G11</f>
        <v>106.6421</v>
      </c>
      <c r="H22">
        <f>7.0742*H11</f>
        <v>7.0742000000000003</v>
      </c>
      <c r="I22">
        <f>13.7363*I11</f>
        <v>13.7363</v>
      </c>
      <c r="J22">
        <f>14.5605*J11</f>
        <v>14.560499999999999</v>
      </c>
      <c r="K22" t="e">
        <f t="shared" si="0"/>
        <v>#REF!</v>
      </c>
      <c r="L22" t="e">
        <f t="shared" si="1"/>
        <v>#REF!</v>
      </c>
    </row>
    <row r="23" spans="3:12" x14ac:dyDescent="0.25">
      <c r="C23">
        <v>3.7938399999999999</v>
      </c>
      <c r="D23">
        <f>1.0388*D11</f>
        <v>1.0387999999999999</v>
      </c>
      <c r="E23" t="e">
        <f>567.7325*E11*#REF!*#REF!</f>
        <v>#REF!</v>
      </c>
      <c r="F23" t="e">
        <f>-230.3688*F11*#REF!*#REF!</f>
        <v>#REF!</v>
      </c>
      <c r="G23">
        <f>109.2995*G11</f>
        <v>109.29949999999999</v>
      </c>
      <c r="H23">
        <f>7.1331*H11</f>
        <v>7.1330999999999998</v>
      </c>
      <c r="I23">
        <f>13.8507*I11</f>
        <v>13.8507</v>
      </c>
      <c r="J23">
        <f>14.6817*J11</f>
        <v>14.681699999999999</v>
      </c>
      <c r="K23" t="e">
        <f t="shared" si="0"/>
        <v>#REF!</v>
      </c>
      <c r="L23" t="e">
        <f t="shared" si="1"/>
        <v>#REF!</v>
      </c>
    </row>
    <row r="24" spans="3:12" x14ac:dyDescent="0.25">
      <c r="C24">
        <v>3.859</v>
      </c>
      <c r="D24">
        <f>1.0378*D11</f>
        <v>1.0378000000000001</v>
      </c>
      <c r="E24" t="e">
        <f>577.4827*E11*#REF!*#REF!</f>
        <v>#REF!</v>
      </c>
      <c r="F24" t="e">
        <f>-234.3251*F11*#REF!*#REF!</f>
        <v>#REF!</v>
      </c>
      <c r="G24">
        <f>109.4964*G11</f>
        <v>109.49639999999999</v>
      </c>
      <c r="H24">
        <f>7.1261*H11</f>
        <v>7.1261000000000001</v>
      </c>
      <c r="I24">
        <f>13.8371*I11</f>
        <v>13.8371</v>
      </c>
      <c r="J24">
        <f>14.6673*J11</f>
        <v>14.667299999999999</v>
      </c>
      <c r="K24" t="e">
        <f t="shared" si="0"/>
        <v>#REF!</v>
      </c>
      <c r="L24" t="e">
        <f t="shared" si="1"/>
        <v>#REF!</v>
      </c>
    </row>
    <row r="25" spans="3:12" x14ac:dyDescent="0.25">
      <c r="C25">
        <v>3.86</v>
      </c>
      <c r="D25">
        <f>1.0378*D11</f>
        <v>1.0378000000000001</v>
      </c>
      <c r="E25" t="e">
        <f>577.4924*E11*#REF!*#REF!</f>
        <v>#REF!</v>
      </c>
      <c r="F25" t="e">
        <f>-234.3859*F11*#REF!*#REF!</f>
        <v>#REF!</v>
      </c>
      <c r="G25">
        <f>109.499*G11</f>
        <v>109.499</v>
      </c>
      <c r="H25">
        <f>7.126*H11</f>
        <v>7.1260000000000003</v>
      </c>
      <c r="I25">
        <f>13.8368*I11</f>
        <v>13.8368</v>
      </c>
      <c r="J25">
        <f>14.6671*J11</f>
        <v>14.6671</v>
      </c>
      <c r="K25" t="e">
        <f t="shared" si="0"/>
        <v>#REF!</v>
      </c>
      <c r="L25" t="e">
        <f t="shared" si="1"/>
        <v>#REF!</v>
      </c>
    </row>
    <row r="29" spans="3:12" x14ac:dyDescent="0.25">
      <c r="C29" t="s">
        <v>17</v>
      </c>
    </row>
    <row r="30" spans="3:12" x14ac:dyDescent="0.25">
      <c r="C30" t="s">
        <v>7</v>
      </c>
      <c r="D30" t="s">
        <v>8</v>
      </c>
      <c r="E30" t="s">
        <v>9</v>
      </c>
      <c r="F30" t="s">
        <v>10</v>
      </c>
      <c r="G30" t="s">
        <v>11</v>
      </c>
      <c r="H30" t="s">
        <v>12</v>
      </c>
      <c r="I30" t="s">
        <v>13</v>
      </c>
      <c r="J30" t="s">
        <v>14</v>
      </c>
      <c r="K30" t="s">
        <v>15</v>
      </c>
      <c r="L30" t="s">
        <v>16</v>
      </c>
    </row>
    <row r="31" spans="3:12" x14ac:dyDescent="0.25">
      <c r="C31">
        <v>0</v>
      </c>
      <c r="D31">
        <f>-0.558*D11</f>
        <v>-0.55800000000000005</v>
      </c>
      <c r="E31" t="e">
        <f>60.722*E11*#REF!*#REF!</f>
        <v>#REF!</v>
      </c>
      <c r="F31" t="e">
        <f>-299.311*F11*#REF!*#REF!</f>
        <v>#REF!</v>
      </c>
      <c r="G31">
        <f>-53.425*G11</f>
        <v>-53.424999999999997</v>
      </c>
      <c r="H31">
        <f>-3.834*H11</f>
        <v>-3.8340000000000001</v>
      </c>
      <c r="I31">
        <f>-7.445*I11</f>
        <v>-7.4450000000000003</v>
      </c>
      <c r="J31">
        <f>-7.891*J11</f>
        <v>-7.891</v>
      </c>
      <c r="K31" t="e">
        <f t="shared" ref="K31:K43" si="2">SUM(D31+E31+G31+H31+I31+J31)</f>
        <v>#REF!</v>
      </c>
      <c r="L31" t="e">
        <f t="shared" ref="L31:L43" si="3">SUM(D31+F31+G31+H31+I31+J31)</f>
        <v>#REF!</v>
      </c>
    </row>
    <row r="32" spans="3:12" x14ac:dyDescent="0.25">
      <c r="C32">
        <v>0.48237999999999998</v>
      </c>
      <c r="D32">
        <f>-0.486*D11</f>
        <v>-0.48599999999999999</v>
      </c>
      <c r="E32" t="e">
        <f>60.722*E11*#REF!*#REF!</f>
        <v>#REF!</v>
      </c>
      <c r="F32" t="e">
        <f>-277.574*F11*#REF!*#REF!</f>
        <v>#REF!</v>
      </c>
      <c r="G32">
        <f>-47.242*G11</f>
        <v>-47.241999999999997</v>
      </c>
      <c r="H32">
        <f>-3.337*H11</f>
        <v>-3.3370000000000002</v>
      </c>
      <c r="I32">
        <f>-6.48*I11</f>
        <v>-6.48</v>
      </c>
      <c r="J32">
        <f>-6.869*J11</f>
        <v>-6.8689999999999998</v>
      </c>
      <c r="K32" t="e">
        <f t="shared" si="2"/>
        <v>#REF!</v>
      </c>
      <c r="L32" t="e">
        <f t="shared" si="3"/>
        <v>#REF!</v>
      </c>
    </row>
    <row r="33" spans="3:12" x14ac:dyDescent="0.25">
      <c r="C33">
        <v>0.96475</v>
      </c>
      <c r="D33">
        <f>-0.414*D11</f>
        <v>-0.41399999999999998</v>
      </c>
      <c r="E33" t="e">
        <f>60.722*E11*#REF!*#REF!</f>
        <v>#REF!</v>
      </c>
      <c r="F33" t="e">
        <f>-256.288*F11*#REF!*#REF!</f>
        <v>#REF!</v>
      </c>
      <c r="G33">
        <f>-41.041*G11</f>
        <v>-41.040999999999997</v>
      </c>
      <c r="H33">
        <f>-2.84*H11</f>
        <v>-2.84</v>
      </c>
      <c r="I33">
        <f>-5.515*I11</f>
        <v>-5.5149999999999997</v>
      </c>
      <c r="J33">
        <f>-5.846*J11</f>
        <v>-5.8460000000000001</v>
      </c>
      <c r="K33" t="e">
        <f t="shared" si="2"/>
        <v>#REF!</v>
      </c>
      <c r="L33" t="e">
        <f t="shared" si="3"/>
        <v>#REF!</v>
      </c>
    </row>
    <row r="34" spans="3:12" x14ac:dyDescent="0.25">
      <c r="C34">
        <v>1.44713</v>
      </c>
      <c r="D34">
        <f>-0.341*D11</f>
        <v>-0.34100000000000003</v>
      </c>
      <c r="E34" t="e">
        <f>69.213*E11*#REF!*#REF!</f>
        <v>#REF!</v>
      </c>
      <c r="F34" t="e">
        <f>-235.506*F11*#REF!*#REF!</f>
        <v>#REF!</v>
      </c>
      <c r="G34">
        <f>-34.824*G11</f>
        <v>-34.823999999999998</v>
      </c>
      <c r="H34">
        <f>-2.343*H11</f>
        <v>-2.343</v>
      </c>
      <c r="I34">
        <f>-4.55*I11</f>
        <v>-4.55</v>
      </c>
      <c r="J34">
        <f>-4.823*J11</f>
        <v>-4.8230000000000004</v>
      </c>
      <c r="K34" t="e">
        <f t="shared" si="2"/>
        <v>#REF!</v>
      </c>
      <c r="L34" t="e">
        <f t="shared" si="3"/>
        <v>#REF!</v>
      </c>
    </row>
    <row r="35" spans="3:12" x14ac:dyDescent="0.25">
      <c r="C35">
        <v>1.5692299999999999</v>
      </c>
      <c r="D35">
        <f>-0.323*D11</f>
        <v>-0.32300000000000001</v>
      </c>
      <c r="E35" t="e">
        <f>69.213*E11*#REF!*#REF!</f>
        <v>#REF!</v>
      </c>
      <c r="F35" t="e">
        <f>-215.28*F11*#REF!*#REF!</f>
        <v>#REF!</v>
      </c>
      <c r="G35">
        <f>-33.247*G11</f>
        <v>-33.247</v>
      </c>
      <c r="H35">
        <f>-2.218*H11</f>
        <v>-2.218</v>
      </c>
      <c r="I35">
        <f>-4.306*I11</f>
        <v>-4.306</v>
      </c>
      <c r="J35">
        <f>-4.565*J11</f>
        <v>-4.5650000000000004</v>
      </c>
      <c r="K35" t="e">
        <f t="shared" si="2"/>
        <v>#REF!</v>
      </c>
      <c r="L35" t="e">
        <f t="shared" si="3"/>
        <v>#REF!</v>
      </c>
    </row>
    <row r="36" spans="3:12" x14ac:dyDescent="0.25">
      <c r="C36">
        <v>1.9295</v>
      </c>
      <c r="D36">
        <f>-0.269*D11</f>
        <v>-0.26900000000000002</v>
      </c>
      <c r="E36" t="e">
        <f>78.653*E11*#REF!*#REF!</f>
        <v>#REF!</v>
      </c>
      <c r="F36" t="e">
        <f>-215.28*F11*#REF!*#REF!</f>
        <v>#REF!</v>
      </c>
      <c r="G36">
        <f>-28.569*G11</f>
        <v>-28.568999999999999</v>
      </c>
      <c r="H36">
        <f>-1.847*H11</f>
        <v>-1.847</v>
      </c>
      <c r="I36">
        <f>-3.586*I11</f>
        <v>-3.5859999999999999</v>
      </c>
      <c r="J36">
        <f>-3.801*J11</f>
        <v>-3.8010000000000002</v>
      </c>
      <c r="K36" t="e">
        <f t="shared" si="2"/>
        <v>#REF!</v>
      </c>
      <c r="L36" t="e">
        <f t="shared" si="3"/>
        <v>#REF!</v>
      </c>
    </row>
    <row r="37" spans="3:12" x14ac:dyDescent="0.25">
      <c r="C37">
        <v>2.41188</v>
      </c>
      <c r="D37">
        <f>-0.197*D11</f>
        <v>-0.19700000000000001</v>
      </c>
      <c r="E37" t="e">
        <f>87.227*E11*#REF!*#REF!</f>
        <v>#REF!</v>
      </c>
      <c r="F37" t="e">
        <f>-196.285*F11*#REF!*#REF!</f>
        <v>#REF!</v>
      </c>
      <c r="G37">
        <f>-22.23*G11</f>
        <v>-22.23</v>
      </c>
      <c r="H37">
        <f>-1.35*H11</f>
        <v>-1.35</v>
      </c>
      <c r="I37">
        <f>-2.621*I11</f>
        <v>-2.621</v>
      </c>
      <c r="J37">
        <f>-2.778*J11</f>
        <v>-2.778</v>
      </c>
      <c r="K37" t="e">
        <f t="shared" si="2"/>
        <v>#REF!</v>
      </c>
      <c r="L37" t="e">
        <f t="shared" si="3"/>
        <v>#REF!</v>
      </c>
    </row>
    <row r="38" spans="3:12" x14ac:dyDescent="0.25">
      <c r="C38">
        <v>2.68154</v>
      </c>
      <c r="D38">
        <f>-0.156*D11</f>
        <v>-0.156</v>
      </c>
      <c r="E38" t="e">
        <f>87.227*E11*#REF!*#REF!</f>
        <v>#REF!</v>
      </c>
      <c r="F38" t="e">
        <f>-180.172*F11*#REF!*#REF!</f>
        <v>#REF!</v>
      </c>
      <c r="G38">
        <f>-18.648*G11</f>
        <v>-18.648</v>
      </c>
      <c r="H38">
        <f>-1.072*H11</f>
        <v>-1.0720000000000001</v>
      </c>
      <c r="I38">
        <f>-2.082*I11</f>
        <v>-2.0819999999999999</v>
      </c>
      <c r="J38">
        <f>-2.206*J11</f>
        <v>-2.206</v>
      </c>
      <c r="K38" t="e">
        <f t="shared" si="2"/>
        <v>#REF!</v>
      </c>
      <c r="L38" t="e">
        <f t="shared" si="3"/>
        <v>#REF!</v>
      </c>
    </row>
    <row r="39" spans="3:12" x14ac:dyDescent="0.25">
      <c r="C39">
        <v>2.89425</v>
      </c>
      <c r="D39">
        <f>-0.124*D11</f>
        <v>-0.124</v>
      </c>
      <c r="E39" t="e">
        <f>94.898*E11*#REF!*#REF!</f>
        <v>#REF!</v>
      </c>
      <c r="F39" t="e">
        <f>-180.172*F11*#REF!*#REF!</f>
        <v>#REF!</v>
      </c>
      <c r="G39">
        <f>-15.799*G11</f>
        <v>-15.798999999999999</v>
      </c>
      <c r="H39">
        <f>-0.853*H11</f>
        <v>-0.85299999999999998</v>
      </c>
      <c r="I39">
        <f>-1.656*I11</f>
        <v>-1.6559999999999999</v>
      </c>
      <c r="J39">
        <f>-1.756*J11</f>
        <v>-1.756</v>
      </c>
      <c r="K39" t="e">
        <f t="shared" si="2"/>
        <v>#REF!</v>
      </c>
      <c r="L39" t="e">
        <f t="shared" si="3"/>
        <v>#REF!</v>
      </c>
    </row>
    <row r="40" spans="3:12" x14ac:dyDescent="0.25">
      <c r="C40">
        <v>3.37663</v>
      </c>
      <c r="D40">
        <f>-0.052*D11</f>
        <v>-5.1999999999999998E-2</v>
      </c>
      <c r="E40" t="e">
        <f>110.558*E11*#REF!*#REF!</f>
        <v>#REF!</v>
      </c>
      <c r="F40" t="e">
        <f>-164.618*F11*#REF!*#REF!</f>
        <v>#REF!</v>
      </c>
      <c r="G40">
        <f>-9.246*G11</f>
        <v>-9.2460000000000004</v>
      </c>
      <c r="H40">
        <f>-0.356*H11</f>
        <v>-0.35599999999999998</v>
      </c>
      <c r="I40">
        <f>-0.691*I11</f>
        <v>-0.69099999999999995</v>
      </c>
      <c r="J40">
        <f>-0.733*J11</f>
        <v>-0.73299999999999998</v>
      </c>
      <c r="K40" t="e">
        <f t="shared" si="2"/>
        <v>#REF!</v>
      </c>
      <c r="L40" t="e">
        <f t="shared" si="3"/>
        <v>#REF!</v>
      </c>
    </row>
    <row r="41" spans="3:12" x14ac:dyDescent="0.25">
      <c r="C41">
        <v>3.7938399999999999</v>
      </c>
      <c r="D41">
        <f>0.011*D11</f>
        <v>1.0999999999999999E-2</v>
      </c>
      <c r="E41" t="e">
        <f>110.558*E11*#REF!*#REF!</f>
        <v>#REF!</v>
      </c>
      <c r="F41" t="e">
        <f>-149.646*F11*#REF!*#REF!</f>
        <v>#REF!</v>
      </c>
      <c r="G41">
        <f>-3.476*G11</f>
        <v>-3.476</v>
      </c>
      <c r="H41">
        <f>0.074*H11</f>
        <v>7.3999999999999996E-2</v>
      </c>
      <c r="I41">
        <f>0.143*I11</f>
        <v>0.14299999999999999</v>
      </c>
      <c r="J41">
        <f>0.152*J11</f>
        <v>0.152</v>
      </c>
      <c r="K41" t="e">
        <f t="shared" si="2"/>
        <v>#REF!</v>
      </c>
      <c r="L41" t="e">
        <f t="shared" si="3"/>
        <v>#REF!</v>
      </c>
    </row>
    <row r="42" spans="3:12" x14ac:dyDescent="0.25">
      <c r="C42">
        <v>3.859</v>
      </c>
      <c r="D42">
        <f>0.02*D11</f>
        <v>0.02</v>
      </c>
      <c r="E42" t="e">
        <f>125.683*E11*#REF!*#REF!</f>
        <v>#REF!</v>
      </c>
      <c r="F42" t="e">
        <f>-149.646*F11*#REF!*#REF!</f>
        <v>#REF!</v>
      </c>
      <c r="G42">
        <f>-2.566*G11</f>
        <v>-2.5659999999999998</v>
      </c>
      <c r="H42">
        <f>0.141*H11</f>
        <v>0.14099999999999999</v>
      </c>
      <c r="I42">
        <f>0.273*I11</f>
        <v>0.27300000000000002</v>
      </c>
      <c r="J42">
        <f>0.29*J11</f>
        <v>0.28999999999999998</v>
      </c>
      <c r="K42" t="e">
        <f t="shared" si="2"/>
        <v>#REF!</v>
      </c>
      <c r="L42" t="e">
        <f t="shared" si="3"/>
        <v>#REF!</v>
      </c>
    </row>
    <row r="43" spans="3:12" x14ac:dyDescent="0.25">
      <c r="C43">
        <v>3.86</v>
      </c>
      <c r="D43">
        <f>0.021*D11</f>
        <v>2.1000000000000001E-2</v>
      </c>
      <c r="E43" t="e">
        <f>125.683*E11*#REF!*#REF!</f>
        <v>#REF!</v>
      </c>
      <c r="F43" t="e">
        <f>-135.267*F11*#REF!*#REF!</f>
        <v>#REF!</v>
      </c>
      <c r="G43">
        <f>-2.552*G11</f>
        <v>-2.552</v>
      </c>
      <c r="H43">
        <f>0.142*H11</f>
        <v>0.14199999999999999</v>
      </c>
      <c r="I43">
        <f>0.275*I11</f>
        <v>0.27500000000000002</v>
      </c>
      <c r="J43">
        <f>0.292*J11</f>
        <v>0.29199999999999998</v>
      </c>
      <c r="K43" t="e">
        <f t="shared" si="2"/>
        <v>#REF!</v>
      </c>
      <c r="L43" t="e">
        <f t="shared" si="3"/>
        <v>#REF!</v>
      </c>
    </row>
    <row r="47" spans="3:12" s="2" customFormat="1" ht="28.5" x14ac:dyDescent="0.45">
      <c r="C47" s="1" t="s">
        <v>21</v>
      </c>
    </row>
    <row r="52" spans="3:12" x14ac:dyDescent="0.25">
      <c r="C52" t="s">
        <v>18</v>
      </c>
    </row>
    <row r="53" spans="3:12" x14ac:dyDescent="0.25">
      <c r="C53" s="3" t="s">
        <v>6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  <c r="J53" s="3">
        <v>1</v>
      </c>
      <c r="K53" s="3"/>
      <c r="L53" s="3"/>
    </row>
    <row r="54" spans="3:12" x14ac:dyDescent="0.25">
      <c r="C54" t="s">
        <v>7</v>
      </c>
      <c r="D54" t="s">
        <v>8</v>
      </c>
      <c r="E54" t="s">
        <v>9</v>
      </c>
      <c r="F54" t="s">
        <v>10</v>
      </c>
      <c r="G54" t="s">
        <v>11</v>
      </c>
      <c r="H54" t="s">
        <v>12</v>
      </c>
      <c r="I54" t="s">
        <v>13</v>
      </c>
      <c r="J54" t="s">
        <v>14</v>
      </c>
      <c r="K54" t="s">
        <v>15</v>
      </c>
      <c r="L54" t="s">
        <v>16</v>
      </c>
    </row>
    <row r="55" spans="3:12" x14ac:dyDescent="0.25">
      <c r="C55">
        <v>0</v>
      </c>
      <c r="D55">
        <f>1.0378*D53</f>
        <v>1.0378000000000001</v>
      </c>
      <c r="E55" t="e">
        <f>577.4924*E53*#REF!*#REF!</f>
        <v>#REF!</v>
      </c>
      <c r="F55" t="e">
        <f>-234.3859*F53*#REF!*#REF!</f>
        <v>#REF!</v>
      </c>
      <c r="G55">
        <f>109.499*G53</f>
        <v>109.499</v>
      </c>
      <c r="H55">
        <f>7.126*H53</f>
        <v>7.1260000000000003</v>
      </c>
      <c r="I55">
        <f>13.8368*I53</f>
        <v>13.8368</v>
      </c>
      <c r="J55">
        <f>14.6671*J53</f>
        <v>14.6671</v>
      </c>
      <c r="K55" t="e">
        <f t="shared" ref="K55:K67" si="4">SUM(D55+E55+G55+H55+I55+J55)</f>
        <v>#REF!</v>
      </c>
      <c r="L55" t="e">
        <f t="shared" ref="L55:L67" si="5">SUM(D55+F55+G55+H55+I55+J55)</f>
        <v>#REF!</v>
      </c>
    </row>
    <row r="56" spans="3:12" x14ac:dyDescent="0.25">
      <c r="C56">
        <v>0.48149999999999998</v>
      </c>
      <c r="D56">
        <f>1.0104*D53</f>
        <v>1.0104</v>
      </c>
      <c r="E56" t="e">
        <f>587.2625*E53*#REF!*#REF!</f>
        <v>#REF!</v>
      </c>
      <c r="F56" t="e">
        <f>-263.6234*F53*#REF!*#REF!</f>
        <v>#REF!</v>
      </c>
      <c r="G56">
        <f>109.0898*G53</f>
        <v>109.0898</v>
      </c>
      <c r="H56">
        <f>6.9383*H53</f>
        <v>6.9382999999999999</v>
      </c>
      <c r="I56">
        <f>13.4724*I53</f>
        <v>13.4724</v>
      </c>
      <c r="J56">
        <f>14.2808*J53</f>
        <v>14.280799999999999</v>
      </c>
      <c r="K56" t="e">
        <f t="shared" si="4"/>
        <v>#REF!</v>
      </c>
      <c r="L56" t="e">
        <f t="shared" si="5"/>
        <v>#REF!</v>
      </c>
    </row>
    <row r="57" spans="3:12" x14ac:dyDescent="0.25">
      <c r="C57">
        <v>0.96399999999999997</v>
      </c>
      <c r="D57">
        <f>0.9482*D53</f>
        <v>0.94820000000000004</v>
      </c>
      <c r="E57" t="e">
        <f>588.742*E53*#REF!*#REF!</f>
        <v>#REF!</v>
      </c>
      <c r="F57" t="e">
        <f>-292.9216*F53*#REF!*#REF!</f>
        <v>#REF!</v>
      </c>
      <c r="G57">
        <f>105.3325*G53</f>
        <v>105.3325</v>
      </c>
      <c r="H57">
        <f>6.5107*H53</f>
        <v>6.5106999999999999</v>
      </c>
      <c r="I57">
        <f>12.6421*I53</f>
        <v>12.642099999999999</v>
      </c>
      <c r="J57">
        <f>13.4007*J53</f>
        <v>13.400700000000001</v>
      </c>
      <c r="K57" t="e">
        <f t="shared" si="4"/>
        <v>#REF!</v>
      </c>
      <c r="L57" t="e">
        <f t="shared" si="5"/>
        <v>#REF!</v>
      </c>
    </row>
    <row r="58" spans="3:12" x14ac:dyDescent="0.25">
      <c r="C58">
        <v>1.0461499999999999</v>
      </c>
      <c r="D58">
        <f>0.9341*D53</f>
        <v>0.93410000000000004</v>
      </c>
      <c r="E58" t="e">
        <f>585.7074*E53*#REF!*#REF!</f>
        <v>#REF!</v>
      </c>
      <c r="F58" t="e">
        <f>-297.91*F53*#REF!*#REF!</f>
        <v>#REF!</v>
      </c>
      <c r="G58">
        <f>104.3523*G53</f>
        <v>104.3523</v>
      </c>
      <c r="H58">
        <f>6.414*H53</f>
        <v>6.4139999999999997</v>
      </c>
      <c r="I58">
        <f>12.4544*I53</f>
        <v>12.4544</v>
      </c>
      <c r="J58">
        <f>13.2016*J53</f>
        <v>13.201599999999999</v>
      </c>
      <c r="K58" t="e">
        <f t="shared" si="4"/>
        <v>#REF!</v>
      </c>
      <c r="L58" t="e">
        <f t="shared" si="5"/>
        <v>#REF!</v>
      </c>
    </row>
    <row r="59" spans="3:12" x14ac:dyDescent="0.25">
      <c r="C59">
        <v>1.4464999999999999</v>
      </c>
      <c r="D59">
        <f>0.851*D53</f>
        <v>0.85099999999999998</v>
      </c>
      <c r="E59" t="e">
        <f>586.5885*E53*#REF!*#REF!</f>
        <v>#REF!</v>
      </c>
      <c r="F59" t="e">
        <f>-322.2198*F53*#REF!*#REF!</f>
        <v>#REF!</v>
      </c>
      <c r="G59">
        <f>98.13*G53</f>
        <v>98.13</v>
      </c>
      <c r="H59">
        <f>5.8433*H53</f>
        <v>5.8433000000000002</v>
      </c>
      <c r="I59">
        <f>11.3462*I53</f>
        <v>11.3462</v>
      </c>
      <c r="J59">
        <f>12.027*J53</f>
        <v>12.026999999999999</v>
      </c>
      <c r="K59" t="e">
        <f t="shared" si="4"/>
        <v>#REF!</v>
      </c>
      <c r="L59" t="e">
        <f t="shared" si="5"/>
        <v>#REF!</v>
      </c>
    </row>
    <row r="60" spans="3:12" x14ac:dyDescent="0.25">
      <c r="C60">
        <v>1.929</v>
      </c>
      <c r="D60">
        <f>0.7189*D53</f>
        <v>0.71889999999999998</v>
      </c>
      <c r="E60" t="e">
        <f>574.3046*E53*#REF!*#REF!</f>
        <v>#REF!</v>
      </c>
      <c r="F60" t="e">
        <f>-351.5181*F53*#REF!*#REF!</f>
        <v>#REF!</v>
      </c>
      <c r="G60">
        <f>87.3729*G53</f>
        <v>87.372900000000001</v>
      </c>
      <c r="H60">
        <f>4.9361*H53</f>
        <v>4.9360999999999997</v>
      </c>
      <c r="I60">
        <f>9.5847*I53</f>
        <v>9.5846999999999998</v>
      </c>
      <c r="J60">
        <f>10.1598*J53</f>
        <v>10.159800000000001</v>
      </c>
      <c r="K60" t="e">
        <f t="shared" si="4"/>
        <v>#REF!</v>
      </c>
      <c r="L60" t="e">
        <f t="shared" si="5"/>
        <v>#REF!</v>
      </c>
    </row>
    <row r="61" spans="3:12" x14ac:dyDescent="0.25">
      <c r="C61">
        <v>2.1584599999999998</v>
      </c>
      <c r="D61">
        <f>0.6438*D53</f>
        <v>0.64380000000000004</v>
      </c>
      <c r="E61" t="e">
        <f>560.6058*E53*#REF!*#REF!</f>
        <v>#REF!</v>
      </c>
      <c r="F61" t="e">
        <f>-365.4513*F53*#REF!*#REF!</f>
        <v>#REF!</v>
      </c>
      <c r="G61">
        <f>80.9765*G53</f>
        <v>80.976500000000001</v>
      </c>
      <c r="H61">
        <f>4.4206*H53</f>
        <v>4.4206000000000003</v>
      </c>
      <c r="I61">
        <f>8.5836*I53</f>
        <v>8.5836000000000006</v>
      </c>
      <c r="J61">
        <f>9.0986*J53</f>
        <v>9.0985999999999994</v>
      </c>
      <c r="K61" t="e">
        <f t="shared" si="4"/>
        <v>#REF!</v>
      </c>
      <c r="L61" t="e">
        <f t="shared" si="5"/>
        <v>#REF!</v>
      </c>
    </row>
    <row r="62" spans="3:12" x14ac:dyDescent="0.25">
      <c r="C62">
        <v>2.4115000000000002</v>
      </c>
      <c r="D62">
        <f>0.5518*D53</f>
        <v>0.55179999999999996</v>
      </c>
      <c r="E62" t="e">
        <f>552.9534*E53*#REF!*#REF!</f>
        <v>#REF!</v>
      </c>
      <c r="F62" t="e">
        <f>-380.8163*F53*#REF!*#REF!</f>
        <v>#REF!</v>
      </c>
      <c r="G62">
        <f>72.9452*G53</f>
        <v>72.9452</v>
      </c>
      <c r="H62">
        <f>3.7891*H53</f>
        <v>3.7890999999999999</v>
      </c>
      <c r="I62">
        <f>7.3576*I53</f>
        <v>7.3575999999999997</v>
      </c>
      <c r="J62">
        <f>7.799*J53</f>
        <v>7.7990000000000004</v>
      </c>
      <c r="K62" t="e">
        <f t="shared" si="4"/>
        <v>#REF!</v>
      </c>
      <c r="L62" t="e">
        <f t="shared" si="5"/>
        <v>#REF!</v>
      </c>
    </row>
    <row r="63" spans="3:12" x14ac:dyDescent="0.25">
      <c r="C63">
        <v>2.8940000000000001</v>
      </c>
      <c r="D63">
        <f>0.3499*D53</f>
        <v>0.34989999999999999</v>
      </c>
      <c r="E63" t="e">
        <f>522.5372*E53*#REF!*#REF!</f>
        <v>#REF!</v>
      </c>
      <c r="F63" t="e">
        <f>-410.1145*F53*#REF!*#REF!</f>
        <v>#REF!</v>
      </c>
      <c r="G63">
        <f>54.7255*G53</f>
        <v>54.725499999999997</v>
      </c>
      <c r="H63">
        <f>2.4024*H53</f>
        <v>2.4024000000000001</v>
      </c>
      <c r="I63">
        <f>4.6648*I53</f>
        <v>4.6647999999999996</v>
      </c>
      <c r="J63">
        <f>4.9447*J53</f>
        <v>4.9447000000000001</v>
      </c>
      <c r="K63" t="e">
        <f t="shared" si="4"/>
        <v>#REF!</v>
      </c>
      <c r="L63" t="e">
        <f t="shared" si="5"/>
        <v>#REF!</v>
      </c>
    </row>
    <row r="64" spans="3:12" x14ac:dyDescent="0.25">
      <c r="C64">
        <v>3.2707700000000002</v>
      </c>
      <c r="D64">
        <f>0.1679*D53</f>
        <v>0.16789999999999999</v>
      </c>
      <c r="E64" t="e">
        <f>491.5557*E53*#REF!*#REF!</f>
        <v>#REF!</v>
      </c>
      <c r="F64" t="e">
        <f>-432.9926*F53*#REF!*#REF!</f>
        <v>#REF!</v>
      </c>
      <c r="G64">
        <f>37.7803*G53</f>
        <v>37.780299999999997</v>
      </c>
      <c r="H64">
        <f>1.1528*H53</f>
        <v>1.1528</v>
      </c>
      <c r="I64">
        <f>2.2384*I53</f>
        <v>2.2383999999999999</v>
      </c>
      <c r="J64">
        <f>2.3727*J53</f>
        <v>2.3727</v>
      </c>
      <c r="K64" t="e">
        <f t="shared" si="4"/>
        <v>#REF!</v>
      </c>
      <c r="L64" t="e">
        <f t="shared" si="5"/>
        <v>#REF!</v>
      </c>
    </row>
    <row r="65" spans="3:12" x14ac:dyDescent="0.25">
      <c r="C65">
        <v>3.3765000000000001</v>
      </c>
      <c r="D65">
        <f>0.113*D53</f>
        <v>0.113</v>
      </c>
      <c r="E65" t="e">
        <f>484.507*E53*#REF!*#REF!</f>
        <v>#REF!</v>
      </c>
      <c r="F65" t="e">
        <f>-439.4128*F53*#REF!*#REF!</f>
        <v>#REF!</v>
      </c>
      <c r="G65">
        <f>32.5873*G53</f>
        <v>32.587299999999999</v>
      </c>
      <c r="H65">
        <f>0.7758*H53</f>
        <v>0.77580000000000005</v>
      </c>
      <c r="I65">
        <f>1.5065*I53</f>
        <v>1.5065</v>
      </c>
      <c r="J65">
        <f>1.5968*J53</f>
        <v>1.5968</v>
      </c>
      <c r="K65" t="e">
        <f t="shared" si="4"/>
        <v>#REF!</v>
      </c>
      <c r="L65" t="e">
        <f t="shared" si="5"/>
        <v>#REF!</v>
      </c>
    </row>
    <row r="66" spans="3:12" x14ac:dyDescent="0.25">
      <c r="C66">
        <v>3.859</v>
      </c>
      <c r="D66">
        <f>-0.1588*D53</f>
        <v>-0.1588</v>
      </c>
      <c r="E66" t="e">
        <f>442.6509*E53*#REF!*#REF!</f>
        <v>#REF!</v>
      </c>
      <c r="F66" t="e">
        <f>-468.711*F53*#REF!*#REF!</f>
        <v>#REF!</v>
      </c>
      <c r="G66">
        <f>6.3891*G53</f>
        <v>6.3891</v>
      </c>
      <c r="H66">
        <f>-1.0905*H53</f>
        <v>-1.0905</v>
      </c>
      <c r="I66">
        <f>-2.1175*I53</f>
        <v>-2.1175000000000002</v>
      </c>
      <c r="J66">
        <f>-2.2446*J53</f>
        <v>-2.2446000000000002</v>
      </c>
      <c r="K66" t="e">
        <f t="shared" si="4"/>
        <v>#REF!</v>
      </c>
      <c r="L66" t="e">
        <f t="shared" si="5"/>
        <v>#REF!</v>
      </c>
    </row>
    <row r="67" spans="3:12" x14ac:dyDescent="0.25">
      <c r="C67">
        <v>3.86</v>
      </c>
      <c r="D67">
        <f>-0.1594*D53</f>
        <v>-0.15939999999999999</v>
      </c>
      <c r="E67" t="e">
        <f>442.4311*E53*#REF!*#REF!</f>
        <v>#REF!</v>
      </c>
      <c r="F67" t="e">
        <f>-468.7717*F53*#REF!*#REF!</f>
        <v>#REF!</v>
      </c>
      <c r="G67">
        <f>6.3305*G53</f>
        <v>6.3304999999999998</v>
      </c>
      <c r="H67">
        <f>-1.0946*H53</f>
        <v>-1.0946</v>
      </c>
      <c r="I67">
        <f>-2.1255*I53</f>
        <v>-2.1255000000000002</v>
      </c>
      <c r="J67">
        <f>-2.253*J53</f>
        <v>-2.2530000000000001</v>
      </c>
      <c r="K67" t="e">
        <f t="shared" si="4"/>
        <v>#REF!</v>
      </c>
      <c r="L67" t="e">
        <f t="shared" si="5"/>
        <v>#REF!</v>
      </c>
    </row>
    <row r="71" spans="3:12" x14ac:dyDescent="0.25">
      <c r="C71" t="s">
        <v>19</v>
      </c>
    </row>
    <row r="72" spans="3:12" x14ac:dyDescent="0.25">
      <c r="C72" t="s">
        <v>7</v>
      </c>
      <c r="D72" t="s">
        <v>8</v>
      </c>
      <c r="E72" t="s">
        <v>9</v>
      </c>
      <c r="F72" t="s">
        <v>10</v>
      </c>
      <c r="G72" t="s">
        <v>11</v>
      </c>
      <c r="H72" t="s">
        <v>12</v>
      </c>
      <c r="I72" t="s">
        <v>13</v>
      </c>
      <c r="J72" t="s">
        <v>14</v>
      </c>
      <c r="K72" t="s">
        <v>15</v>
      </c>
      <c r="L72" t="s">
        <v>16</v>
      </c>
    </row>
    <row r="73" spans="3:12" x14ac:dyDescent="0.25">
      <c r="C73">
        <v>0</v>
      </c>
      <c r="D73">
        <f>0.021*D53</f>
        <v>2.1000000000000001E-2</v>
      </c>
      <c r="E73" t="e">
        <f>125.683*E53*#REF!*#REF!</f>
        <v>#REF!</v>
      </c>
      <c r="F73" t="e">
        <f>-135.267*F53*#REF!*#REF!</f>
        <v>#REF!</v>
      </c>
      <c r="G73">
        <f>-2.552*G53</f>
        <v>-2.552</v>
      </c>
      <c r="H73">
        <f>0.142*H53</f>
        <v>0.14199999999999999</v>
      </c>
      <c r="I73">
        <f>0.275*I53</f>
        <v>0.27500000000000002</v>
      </c>
      <c r="J73">
        <f>0.292*J53</f>
        <v>0.29199999999999998</v>
      </c>
      <c r="K73" t="e">
        <f t="shared" ref="K73:K85" si="6">SUM(D73+E73+G73+H73+I73+J73)</f>
        <v>#REF!</v>
      </c>
      <c r="L73" t="e">
        <f t="shared" ref="L73:L85" si="7">SUM(D73+F73+G73+H73+I73+J73)</f>
        <v>#REF!</v>
      </c>
    </row>
    <row r="74" spans="3:12" x14ac:dyDescent="0.25">
      <c r="C74">
        <v>0.48149999999999998</v>
      </c>
      <c r="D74">
        <f>0.093*D53</f>
        <v>9.2999999999999999E-2</v>
      </c>
      <c r="E74" t="e">
        <f>140.04*E53*#REF!*#REF!</f>
        <v>#REF!</v>
      </c>
      <c r="F74" t="e">
        <f>-135.267*F53*#REF!*#REF!</f>
        <v>#REF!</v>
      </c>
      <c r="G74">
        <f>4.283*G53</f>
        <v>4.2830000000000004</v>
      </c>
      <c r="H74">
        <f>0.638*H53</f>
        <v>0.63800000000000001</v>
      </c>
      <c r="I74">
        <f>1.238*I53</f>
        <v>1.238</v>
      </c>
      <c r="J74">
        <f>1.313*J53</f>
        <v>1.3129999999999999</v>
      </c>
      <c r="K74" t="e">
        <f t="shared" si="6"/>
        <v>#REF!</v>
      </c>
      <c r="L74" t="e">
        <f t="shared" si="7"/>
        <v>#REF!</v>
      </c>
    </row>
    <row r="75" spans="3:12" x14ac:dyDescent="0.25">
      <c r="C75">
        <v>0.96399999999999997</v>
      </c>
      <c r="D75">
        <f>0.165*D53</f>
        <v>0.16500000000000001</v>
      </c>
      <c r="E75" t="e">
        <f>153.739*E53*#REF!*#REF!</f>
        <v>#REF!</v>
      </c>
      <c r="F75" t="e">
        <f>-121.489*F53*#REF!*#REF!</f>
        <v>#REF!</v>
      </c>
      <c r="G75">
        <f>11.323*G53</f>
        <v>11.323</v>
      </c>
      <c r="H75">
        <f>1.135*H53</f>
        <v>1.135</v>
      </c>
      <c r="I75">
        <f>2.203*I53</f>
        <v>2.2029999999999998</v>
      </c>
      <c r="J75">
        <f>2.336*J53</f>
        <v>2.3359999999999999</v>
      </c>
      <c r="K75" t="e">
        <f t="shared" si="6"/>
        <v>#REF!</v>
      </c>
      <c r="L75" t="e">
        <f t="shared" si="7"/>
        <v>#REF!</v>
      </c>
    </row>
    <row r="76" spans="3:12" x14ac:dyDescent="0.25">
      <c r="C76">
        <v>1.0461499999999999</v>
      </c>
      <c r="D76">
        <f>0.178*D53</f>
        <v>0.17799999999999999</v>
      </c>
      <c r="E76" t="e">
        <f>153.739*E53*#REF!*#REF!</f>
        <v>#REF!</v>
      </c>
      <c r="F76" t="e">
        <f>-108.31*F53*#REF!*#REF!</f>
        <v>#REF!</v>
      </c>
      <c r="G76">
        <f>12.541*G53</f>
        <v>12.541</v>
      </c>
      <c r="H76">
        <f>1.219*H53</f>
        <v>1.2190000000000001</v>
      </c>
      <c r="I76">
        <f>2.368*I53</f>
        <v>2.3679999999999999</v>
      </c>
      <c r="J76">
        <f>2.51*J53</f>
        <v>2.5099999999999998</v>
      </c>
      <c r="K76" t="e">
        <f t="shared" si="6"/>
        <v>#REF!</v>
      </c>
      <c r="L76" t="e">
        <f t="shared" si="7"/>
        <v>#REF!</v>
      </c>
    </row>
    <row r="77" spans="3:12" x14ac:dyDescent="0.25">
      <c r="C77">
        <v>1.4464999999999999</v>
      </c>
      <c r="D77">
        <f>0.238*D53</f>
        <v>0.23799999999999999</v>
      </c>
      <c r="E77" t="e">
        <f>172.164*E53*#REF!*#REF!</f>
        <v>#REF!</v>
      </c>
      <c r="F77" t="e">
        <f>-108.31*F53*#REF!*#REF!</f>
        <v>#REF!</v>
      </c>
      <c r="G77">
        <f>18.571*G53</f>
        <v>18.571000000000002</v>
      </c>
      <c r="H77">
        <f>1.632*H53</f>
        <v>1.6319999999999999</v>
      </c>
      <c r="I77">
        <f>3.168*I53</f>
        <v>3.1680000000000001</v>
      </c>
      <c r="J77">
        <f>3.358*J53</f>
        <v>3.3580000000000001</v>
      </c>
      <c r="K77" t="e">
        <f t="shared" si="6"/>
        <v>#REF!</v>
      </c>
      <c r="L77" t="e">
        <f t="shared" si="7"/>
        <v>#REF!</v>
      </c>
    </row>
    <row r="78" spans="3:12" x14ac:dyDescent="0.25">
      <c r="C78">
        <v>1.929</v>
      </c>
      <c r="D78">
        <f>0.31*D53</f>
        <v>0.31</v>
      </c>
      <c r="E78" t="e">
        <f>190.984*E53*#REF!*#REF!</f>
        <v>#REF!</v>
      </c>
      <c r="F78" t="e">
        <f>-95.719*F53*#REF!*#REF!</f>
        <v>#REF!</v>
      </c>
      <c r="G78">
        <f>26.058*G53</f>
        <v>26.058</v>
      </c>
      <c r="H78">
        <f>2.129*H53</f>
        <v>2.129</v>
      </c>
      <c r="I78">
        <f>4.133*I53</f>
        <v>4.133</v>
      </c>
      <c r="J78">
        <f>4.381*J53</f>
        <v>4.3810000000000002</v>
      </c>
      <c r="K78" t="e">
        <f t="shared" si="6"/>
        <v>#REF!</v>
      </c>
      <c r="L78" t="e">
        <f t="shared" si="7"/>
        <v>#REF!</v>
      </c>
    </row>
    <row r="79" spans="3:12" x14ac:dyDescent="0.25">
      <c r="C79">
        <v>2.1584599999999998</v>
      </c>
      <c r="D79">
        <f>0.344*D53</f>
        <v>0.34399999999999997</v>
      </c>
      <c r="E79" t="e">
        <f>190.984*E53*#REF!*#REF!</f>
        <v>#REF!</v>
      </c>
      <c r="F79" t="e">
        <f>-83.702*F53*#REF!*#REF!</f>
        <v>#REF!</v>
      </c>
      <c r="G79">
        <f>29.703*G53</f>
        <v>29.702999999999999</v>
      </c>
      <c r="H79">
        <f>2.365*H53</f>
        <v>2.3650000000000002</v>
      </c>
      <c r="I79">
        <f>4.592*I53</f>
        <v>4.5919999999999996</v>
      </c>
      <c r="J79">
        <f>4.868*J53</f>
        <v>4.8680000000000003</v>
      </c>
      <c r="K79" t="e">
        <f t="shared" si="6"/>
        <v>#REF!</v>
      </c>
      <c r="L79" t="e">
        <f t="shared" si="7"/>
        <v>#REF!</v>
      </c>
    </row>
    <row r="80" spans="3:12" x14ac:dyDescent="0.25">
      <c r="C80">
        <v>2.4115000000000002</v>
      </c>
      <c r="D80">
        <f>0.382*D53</f>
        <v>0.38200000000000001</v>
      </c>
      <c r="E80" t="e">
        <f>208.807*E53*#REF!*#REF!</f>
        <v>#REF!</v>
      </c>
      <c r="F80" t="e">
        <f>-83.702*F53*#REF!*#REF!</f>
        <v>#REF!</v>
      </c>
      <c r="G80">
        <f>33.788*G53</f>
        <v>33.787999999999997</v>
      </c>
      <c r="H80">
        <f>2.626*H53</f>
        <v>2.6259999999999999</v>
      </c>
      <c r="I80">
        <f>5.098*I53</f>
        <v>5.0979999999999999</v>
      </c>
      <c r="J80">
        <f>5.404*J53</f>
        <v>5.4039999999999999</v>
      </c>
      <c r="K80" t="e">
        <f t="shared" si="6"/>
        <v>#REF!</v>
      </c>
      <c r="L80" t="e">
        <f t="shared" si="7"/>
        <v>#REF!</v>
      </c>
    </row>
    <row r="81" spans="3:12" x14ac:dyDescent="0.25">
      <c r="C81">
        <v>2.8940000000000001</v>
      </c>
      <c r="D81">
        <f>0.455*D53</f>
        <v>0.45500000000000002</v>
      </c>
      <c r="E81" t="e">
        <f>225.624*E53*#REF!*#REF!</f>
        <v>#REF!</v>
      </c>
      <c r="F81" t="e">
        <f>-72.236*F53*#REF!*#REF!</f>
        <v>#REF!</v>
      </c>
      <c r="G81">
        <f>41.778*G53</f>
        <v>41.777999999999999</v>
      </c>
      <c r="H81">
        <f>3.123*H53</f>
        <v>3.1230000000000002</v>
      </c>
      <c r="I81">
        <f>6.063*I53</f>
        <v>6.0629999999999997</v>
      </c>
      <c r="J81">
        <f>6.427*J53</f>
        <v>6.4269999999999996</v>
      </c>
      <c r="K81" t="e">
        <f t="shared" si="6"/>
        <v>#REF!</v>
      </c>
      <c r="L81" t="e">
        <f t="shared" si="7"/>
        <v>#REF!</v>
      </c>
    </row>
    <row r="82" spans="3:12" x14ac:dyDescent="0.25">
      <c r="C82">
        <v>3.2707700000000002</v>
      </c>
      <c r="D82">
        <f>0.511*D53</f>
        <v>0.51100000000000001</v>
      </c>
      <c r="E82" t="e">
        <f>225.624*E53*#REF!*#REF!</f>
        <v>#REF!</v>
      </c>
      <c r="F82" t="e">
        <f>-62.428*F53*#REF!*#REF!</f>
        <v>#REF!</v>
      </c>
      <c r="G82">
        <f>48.199*G53</f>
        <v>48.198999999999998</v>
      </c>
      <c r="H82">
        <f>3.511*H53</f>
        <v>3.5110000000000001</v>
      </c>
      <c r="I82">
        <f>6.817*I53</f>
        <v>6.8170000000000002</v>
      </c>
      <c r="J82">
        <f>7.226*J53</f>
        <v>7.226</v>
      </c>
      <c r="K82" t="e">
        <f t="shared" si="6"/>
        <v>#REF!</v>
      </c>
      <c r="L82" t="e">
        <f t="shared" si="7"/>
        <v>#REF!</v>
      </c>
    </row>
    <row r="83" spans="3:12" x14ac:dyDescent="0.25">
      <c r="C83">
        <v>3.3765000000000001</v>
      </c>
      <c r="D83">
        <f>0.527*D53</f>
        <v>0.52700000000000002</v>
      </c>
      <c r="E83" t="e">
        <f>241.446*E53*#REF!*#REF!</f>
        <v>#REF!</v>
      </c>
      <c r="F83" t="e">
        <f>-62.428*F53*#REF!*#REF!</f>
        <v>#REF!</v>
      </c>
      <c r="G83">
        <f>50.033*G53</f>
        <v>50.033000000000001</v>
      </c>
      <c r="H83">
        <f>3.62*H53</f>
        <v>3.62</v>
      </c>
      <c r="I83">
        <f>7.028*I53</f>
        <v>7.0279999999999996</v>
      </c>
      <c r="J83">
        <f>7.45*J53</f>
        <v>7.45</v>
      </c>
      <c r="K83" t="e">
        <f t="shared" si="6"/>
        <v>#REF!</v>
      </c>
      <c r="L83" t="e">
        <f t="shared" si="7"/>
        <v>#REF!</v>
      </c>
    </row>
    <row r="84" spans="3:12" x14ac:dyDescent="0.25">
      <c r="C84">
        <v>3.859</v>
      </c>
      <c r="D84">
        <f>0.599*D53</f>
        <v>0.59899999999999998</v>
      </c>
      <c r="E84" t="e">
        <f>256.283*E53*#REF!*#REF!</f>
        <v>#REF!</v>
      </c>
      <c r="F84" t="e">
        <f>-53.142*F53*#REF!*#REF!</f>
        <v>#REF!</v>
      </c>
      <c r="G84">
        <f>58.622*G53</f>
        <v>58.622</v>
      </c>
      <c r="H84">
        <f>4.117*H53</f>
        <v>4.117</v>
      </c>
      <c r="I84">
        <f>7.993*I53</f>
        <v>7.9930000000000003</v>
      </c>
      <c r="J84">
        <f>8.473*J53</f>
        <v>8.4730000000000008</v>
      </c>
      <c r="K84" t="e">
        <f t="shared" si="6"/>
        <v>#REF!</v>
      </c>
      <c r="L84" t="e">
        <f t="shared" si="7"/>
        <v>#REF!</v>
      </c>
    </row>
    <row r="85" spans="3:12" x14ac:dyDescent="0.25">
      <c r="C85">
        <v>3.86</v>
      </c>
      <c r="D85">
        <f>0.6*D53</f>
        <v>0.6</v>
      </c>
      <c r="E85" t="e">
        <f>256.283*E53*#REF!*#REF!</f>
        <v>#REF!</v>
      </c>
      <c r="F85" t="e">
        <f>-44.285*F53*#REF!*#REF!</f>
        <v>#REF!</v>
      </c>
      <c r="G85">
        <f>58.64*G53</f>
        <v>58.64</v>
      </c>
      <c r="H85">
        <f>4.118*H53</f>
        <v>4.1180000000000003</v>
      </c>
      <c r="I85">
        <f>7.995*I53</f>
        <v>7.9950000000000001</v>
      </c>
      <c r="J85">
        <f>8.475*J53</f>
        <v>8.4749999999999996</v>
      </c>
      <c r="K85" t="e">
        <f t="shared" si="6"/>
        <v>#REF!</v>
      </c>
      <c r="L85" t="e">
        <f t="shared" si="7"/>
        <v>#REF!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7:S140"/>
  <sheetViews>
    <sheetView workbookViewId="0">
      <selection activeCell="K31" sqref="K31"/>
    </sheetView>
  </sheetViews>
  <sheetFormatPr defaultRowHeight="15" x14ac:dyDescent="0.25"/>
  <cols>
    <col min="3" max="8" width="10.42578125" customWidth="1"/>
    <col min="14" max="19" width="10.42578125" customWidth="1"/>
  </cols>
  <sheetData>
    <row r="7" spans="3:19" x14ac:dyDescent="0.25">
      <c r="N7" s="4" t="s">
        <v>23</v>
      </c>
    </row>
    <row r="8" spans="3:19" x14ac:dyDescent="0.25">
      <c r="N8" s="5" t="s">
        <v>24</v>
      </c>
      <c r="O8" s="5">
        <v>10</v>
      </c>
    </row>
    <row r="10" spans="3:19" x14ac:dyDescent="0.25">
      <c r="N10" t="s">
        <v>25</v>
      </c>
      <c r="O10" s="6" t="s">
        <v>26</v>
      </c>
      <c r="P10" s="6" t="s">
        <v>27</v>
      </c>
      <c r="Q10" s="6" t="s">
        <v>28</v>
      </c>
      <c r="R10" s="6" t="s">
        <v>29</v>
      </c>
      <c r="S10" s="6" t="s">
        <v>30</v>
      </c>
    </row>
    <row r="11" spans="3:19" x14ac:dyDescent="0.25">
      <c r="N11" t="s">
        <v>31</v>
      </c>
      <c r="O11" s="6">
        <v>21.580249999999999</v>
      </c>
      <c r="P11" s="6">
        <v>450.08109999999999</v>
      </c>
      <c r="Q11" s="6">
        <v>-167.35149999999999</v>
      </c>
      <c r="R11" s="6">
        <v>263.82799999999997</v>
      </c>
      <c r="S11" s="6">
        <v>-40.274000000000001</v>
      </c>
    </row>
    <row r="12" spans="3:19" x14ac:dyDescent="0.25">
      <c r="N12" s="4" t="s">
        <v>24</v>
      </c>
      <c r="O12" s="7">
        <v>22</v>
      </c>
      <c r="P12" s="7">
        <f>-((P13-P11)/(O13-O11)*(O13-O12)-P13)</f>
        <v>400.25886824146983</v>
      </c>
      <c r="Q12" s="7">
        <f>-((Q13-Q11)/(O13-O11)*(O13-O12)-Q13)</f>
        <v>-204.65773422572178</v>
      </c>
      <c r="R12" s="7">
        <f>-((R13-R11)/(O13-O11)*(O13-O12)-R13)</f>
        <v>284.45898792650917</v>
      </c>
      <c r="S12" s="7">
        <f>-((S13-S11)/(O13-O11)*(O13-O12)-S13)</f>
        <v>-21.702761679790015</v>
      </c>
    </row>
    <row r="13" spans="3:19" x14ac:dyDescent="0.25">
      <c r="N13" t="s">
        <v>32</v>
      </c>
      <c r="O13" s="6">
        <v>22.0565</v>
      </c>
      <c r="P13" s="6">
        <v>393.55260000000004</v>
      </c>
      <c r="Q13" s="6">
        <v>-209.67929999999998</v>
      </c>
      <c r="R13" s="6">
        <v>287.23599999999999</v>
      </c>
      <c r="S13" s="6">
        <v>-19.202999999999999</v>
      </c>
    </row>
    <row r="15" spans="3:19" x14ac:dyDescent="0.25">
      <c r="C15" t="s">
        <v>33</v>
      </c>
      <c r="D15" t="s">
        <v>7</v>
      </c>
      <c r="E15" t="s">
        <v>34</v>
      </c>
      <c r="F15" t="s">
        <v>35</v>
      </c>
      <c r="G15" t="s">
        <v>36</v>
      </c>
      <c r="H15" t="s">
        <v>37</v>
      </c>
    </row>
    <row r="16" spans="3:19" x14ac:dyDescent="0.25">
      <c r="C16">
        <v>1</v>
      </c>
      <c r="D16">
        <v>0</v>
      </c>
      <c r="E16" t="e">
        <f>'[1]Simplified Analysis 1'!#REF!</f>
        <v>#REF!</v>
      </c>
      <c r="F16" t="e">
        <f>'[1]Simplified Analysis 1'!#REF!</f>
        <v>#REF!</v>
      </c>
      <c r="G16" t="e">
        <f>'[1]Simplified Analysis 1'!#REF!</f>
        <v>#REF!</v>
      </c>
      <c r="H16" t="e">
        <f>'[1]Simplified Analysis 1'!#REF!</f>
        <v>#REF!</v>
      </c>
    </row>
    <row r="17" spans="3:8" x14ac:dyDescent="0.25">
      <c r="C17">
        <v>1</v>
      </c>
      <c r="D17">
        <v>0.48237999999999998</v>
      </c>
      <c r="E17" t="e">
        <f>'[1]Simplified Analysis 1'!#REF!</f>
        <v>#REF!</v>
      </c>
      <c r="F17" t="e">
        <f>'[1]Simplified Analysis 1'!#REF!</f>
        <v>#REF!</v>
      </c>
      <c r="G17" t="e">
        <f>'[1]Simplified Analysis 1'!#REF!</f>
        <v>#REF!</v>
      </c>
      <c r="H17" t="e">
        <f>'[1]Simplified Analysis 1'!#REF!</f>
        <v>#REF!</v>
      </c>
    </row>
    <row r="18" spans="3:8" x14ac:dyDescent="0.25">
      <c r="C18">
        <v>1</v>
      </c>
      <c r="D18">
        <v>0.96475</v>
      </c>
      <c r="E18" t="e">
        <f>'[1]Simplified Analysis 1'!#REF!</f>
        <v>#REF!</v>
      </c>
      <c r="F18" t="e">
        <f>'[1]Simplified Analysis 1'!#REF!</f>
        <v>#REF!</v>
      </c>
      <c r="G18" t="e">
        <f>'[1]Simplified Analysis 1'!#REF!</f>
        <v>#REF!</v>
      </c>
      <c r="H18" t="e">
        <f>'[1]Simplified Analysis 1'!#REF!</f>
        <v>#REF!</v>
      </c>
    </row>
    <row r="19" spans="3:8" x14ac:dyDescent="0.25">
      <c r="C19">
        <v>1</v>
      </c>
      <c r="D19">
        <v>1.44713</v>
      </c>
      <c r="E19" t="e">
        <f>'[1]Simplified Analysis 1'!#REF!</f>
        <v>#REF!</v>
      </c>
      <c r="F19" t="e">
        <f>'[1]Simplified Analysis 1'!#REF!</f>
        <v>#REF!</v>
      </c>
      <c r="G19" t="e">
        <f>'[1]Simplified Analysis 1'!#REF!</f>
        <v>#REF!</v>
      </c>
      <c r="H19" t="e">
        <f>'[1]Simplified Analysis 1'!#REF!</f>
        <v>#REF!</v>
      </c>
    </row>
    <row r="20" spans="3:8" x14ac:dyDescent="0.25">
      <c r="C20">
        <v>1</v>
      </c>
      <c r="D20">
        <v>1.5692299999999999</v>
      </c>
      <c r="E20" t="e">
        <f>'[1]Simplified Analysis 1'!#REF!</f>
        <v>#REF!</v>
      </c>
      <c r="F20" t="e">
        <f>'[1]Simplified Analysis 1'!#REF!</f>
        <v>#REF!</v>
      </c>
      <c r="G20" t="e">
        <f>'[1]Simplified Analysis 1'!#REF!</f>
        <v>#REF!</v>
      </c>
      <c r="H20" t="e">
        <f>'[1]Simplified Analysis 1'!#REF!</f>
        <v>#REF!</v>
      </c>
    </row>
    <row r="21" spans="3:8" x14ac:dyDescent="0.25">
      <c r="C21">
        <v>1</v>
      </c>
      <c r="D21">
        <v>1.9295</v>
      </c>
      <c r="E21" t="e">
        <f>'[1]Simplified Analysis 1'!#REF!</f>
        <v>#REF!</v>
      </c>
      <c r="F21" t="e">
        <f>'[1]Simplified Analysis 1'!#REF!</f>
        <v>#REF!</v>
      </c>
      <c r="G21" t="e">
        <f>'[1]Simplified Analysis 1'!#REF!</f>
        <v>#REF!</v>
      </c>
      <c r="H21" t="e">
        <f>'[1]Simplified Analysis 1'!#REF!</f>
        <v>#REF!</v>
      </c>
    </row>
    <row r="22" spans="3:8" x14ac:dyDescent="0.25">
      <c r="C22">
        <v>1</v>
      </c>
      <c r="D22">
        <v>2.41188</v>
      </c>
      <c r="E22" t="e">
        <f>'[1]Simplified Analysis 1'!#REF!</f>
        <v>#REF!</v>
      </c>
      <c r="F22" t="e">
        <f>'[1]Simplified Analysis 1'!#REF!</f>
        <v>#REF!</v>
      </c>
      <c r="G22" t="e">
        <f>'[1]Simplified Analysis 1'!#REF!</f>
        <v>#REF!</v>
      </c>
      <c r="H22" t="e">
        <f>'[1]Simplified Analysis 1'!#REF!</f>
        <v>#REF!</v>
      </c>
    </row>
    <row r="23" spans="3:8" x14ac:dyDescent="0.25">
      <c r="C23">
        <v>1</v>
      </c>
      <c r="D23">
        <v>2.68154</v>
      </c>
      <c r="E23" t="e">
        <f>'[1]Simplified Analysis 1'!#REF!</f>
        <v>#REF!</v>
      </c>
      <c r="F23" t="e">
        <f>'[1]Simplified Analysis 1'!#REF!</f>
        <v>#REF!</v>
      </c>
      <c r="G23" t="e">
        <f>'[1]Simplified Analysis 1'!#REF!</f>
        <v>#REF!</v>
      </c>
      <c r="H23" t="e">
        <f>'[1]Simplified Analysis 1'!#REF!</f>
        <v>#REF!</v>
      </c>
    </row>
    <row r="24" spans="3:8" x14ac:dyDescent="0.25">
      <c r="C24">
        <v>1</v>
      </c>
      <c r="D24">
        <v>2.89425</v>
      </c>
      <c r="E24" t="e">
        <f>'[1]Simplified Analysis 1'!#REF!</f>
        <v>#REF!</v>
      </c>
      <c r="F24" t="e">
        <f>'[1]Simplified Analysis 1'!#REF!</f>
        <v>#REF!</v>
      </c>
      <c r="G24" t="e">
        <f>'[1]Simplified Analysis 1'!#REF!</f>
        <v>#REF!</v>
      </c>
      <c r="H24" t="e">
        <f>'[1]Simplified Analysis 1'!#REF!</f>
        <v>#REF!</v>
      </c>
    </row>
    <row r="25" spans="3:8" x14ac:dyDescent="0.25">
      <c r="C25">
        <v>1</v>
      </c>
      <c r="D25">
        <v>3.37663</v>
      </c>
      <c r="E25" t="e">
        <f>'[1]Simplified Analysis 1'!#REF!</f>
        <v>#REF!</v>
      </c>
      <c r="F25" t="e">
        <f>'[1]Simplified Analysis 1'!#REF!</f>
        <v>#REF!</v>
      </c>
      <c r="G25" t="e">
        <f>'[1]Simplified Analysis 1'!#REF!</f>
        <v>#REF!</v>
      </c>
      <c r="H25" t="e">
        <f>'[1]Simplified Analysis 1'!#REF!</f>
        <v>#REF!</v>
      </c>
    </row>
    <row r="26" spans="3:8" x14ac:dyDescent="0.25">
      <c r="C26">
        <v>1</v>
      </c>
      <c r="D26">
        <v>3.7938399999999999</v>
      </c>
      <c r="E26" t="e">
        <f>'[1]Simplified Analysis 1'!#REF!</f>
        <v>#REF!</v>
      </c>
      <c r="F26" t="e">
        <f>'[1]Simplified Analysis 1'!#REF!</f>
        <v>#REF!</v>
      </c>
      <c r="G26" t="e">
        <f>'[1]Simplified Analysis 1'!#REF!</f>
        <v>#REF!</v>
      </c>
      <c r="H26" t="e">
        <f>'[1]Simplified Analysis 1'!#REF!</f>
        <v>#REF!</v>
      </c>
    </row>
    <row r="27" spans="3:8" x14ac:dyDescent="0.25">
      <c r="C27">
        <v>1</v>
      </c>
      <c r="D27">
        <v>3.859</v>
      </c>
      <c r="E27" t="e">
        <f>'[1]Simplified Analysis 1'!#REF!</f>
        <v>#REF!</v>
      </c>
      <c r="F27" t="e">
        <f>'[1]Simplified Analysis 1'!#REF!</f>
        <v>#REF!</v>
      </c>
      <c r="G27" t="e">
        <f>'[1]Simplified Analysis 1'!#REF!</f>
        <v>#REF!</v>
      </c>
      <c r="H27" t="e">
        <f>'[1]Simplified Analysis 1'!#REF!</f>
        <v>#REF!</v>
      </c>
    </row>
    <row r="28" spans="3:8" x14ac:dyDescent="0.25">
      <c r="C28">
        <v>1</v>
      </c>
      <c r="D28">
        <v>3.86</v>
      </c>
      <c r="E28" t="e">
        <f>'[1]Simplified Analysis 1'!#REF!</f>
        <v>#REF!</v>
      </c>
      <c r="F28" t="e">
        <f>'[1]Simplified Analysis 1'!#REF!</f>
        <v>#REF!</v>
      </c>
      <c r="G28" t="e">
        <f>'[1]Simplified Analysis 1'!#REF!</f>
        <v>#REF!</v>
      </c>
      <c r="H28" t="e">
        <f>'[1]Simplified Analysis 1'!#REF!</f>
        <v>#REF!</v>
      </c>
    </row>
    <row r="29" spans="3:8" x14ac:dyDescent="0.25">
      <c r="C29">
        <v>2</v>
      </c>
      <c r="D29">
        <v>3.86</v>
      </c>
      <c r="E29" t="e">
        <f>'[1]Simplified Analysis 1'!#REF!</f>
        <v>#REF!</v>
      </c>
      <c r="F29" t="e">
        <f>'[1]Simplified Analysis 1'!#REF!</f>
        <v>#REF!</v>
      </c>
      <c r="G29" t="e">
        <f>'[1]Simplified Analysis 1'!#REF!</f>
        <v>#REF!</v>
      </c>
      <c r="H29" t="e">
        <f>'[1]Simplified Analysis 1'!#REF!</f>
        <v>#REF!</v>
      </c>
    </row>
    <row r="30" spans="3:8" x14ac:dyDescent="0.25">
      <c r="C30">
        <v>2</v>
      </c>
      <c r="D30">
        <v>4.3414999999999999</v>
      </c>
      <c r="E30" t="e">
        <f>'[1]Simplified Analysis 1'!#REF!</f>
        <v>#REF!</v>
      </c>
      <c r="F30" t="e">
        <f>'[1]Simplified Analysis 1'!#REF!</f>
        <v>#REF!</v>
      </c>
      <c r="G30" t="e">
        <f>'[1]Simplified Analysis 1'!#REF!</f>
        <v>#REF!</v>
      </c>
      <c r="H30" t="e">
        <f>'[1]Simplified Analysis 1'!#REF!</f>
        <v>#REF!</v>
      </c>
    </row>
    <row r="31" spans="3:8" x14ac:dyDescent="0.25">
      <c r="C31">
        <v>2</v>
      </c>
      <c r="D31">
        <v>4.8239999999999998</v>
      </c>
      <c r="E31" t="e">
        <f>'[1]Simplified Analysis 1'!#REF!</f>
        <v>#REF!</v>
      </c>
      <c r="F31" t="e">
        <f>'[1]Simplified Analysis 1'!#REF!</f>
        <v>#REF!</v>
      </c>
      <c r="G31" t="e">
        <f>'[1]Simplified Analysis 1'!#REF!</f>
        <v>#REF!</v>
      </c>
      <c r="H31" t="e">
        <f>'[1]Simplified Analysis 1'!#REF!</f>
        <v>#REF!</v>
      </c>
    </row>
    <row r="32" spans="3:8" x14ac:dyDescent="0.25">
      <c r="C32">
        <v>2</v>
      </c>
      <c r="D32">
        <v>4.9061500000000002</v>
      </c>
      <c r="E32" t="e">
        <f>'[1]Simplified Analysis 1'!#REF!</f>
        <v>#REF!</v>
      </c>
      <c r="F32" t="e">
        <f>'[1]Simplified Analysis 1'!#REF!</f>
        <v>#REF!</v>
      </c>
      <c r="G32" t="e">
        <f>'[1]Simplified Analysis 1'!#REF!</f>
        <v>#REF!</v>
      </c>
      <c r="H32" t="e">
        <f>'[1]Simplified Analysis 1'!#REF!</f>
        <v>#REF!</v>
      </c>
    </row>
    <row r="33" spans="3:8" x14ac:dyDescent="0.25">
      <c r="C33">
        <v>2</v>
      </c>
      <c r="D33">
        <v>5.3064999999999998</v>
      </c>
      <c r="E33" t="e">
        <f>'[1]Simplified Analysis 1'!#REF!</f>
        <v>#REF!</v>
      </c>
      <c r="F33" t="e">
        <f>'[1]Simplified Analysis 1'!#REF!</f>
        <v>#REF!</v>
      </c>
      <c r="G33" t="e">
        <f>'[1]Simplified Analysis 1'!#REF!</f>
        <v>#REF!</v>
      </c>
      <c r="H33" t="e">
        <f>'[1]Simplified Analysis 1'!#REF!</f>
        <v>#REF!</v>
      </c>
    </row>
    <row r="34" spans="3:8" x14ac:dyDescent="0.25">
      <c r="C34">
        <v>2</v>
      </c>
      <c r="D34">
        <v>5.7889999999999997</v>
      </c>
      <c r="E34" t="e">
        <f>'[1]Simplified Analysis 1'!#REF!</f>
        <v>#REF!</v>
      </c>
      <c r="F34" t="e">
        <f>'[1]Simplified Analysis 1'!#REF!</f>
        <v>#REF!</v>
      </c>
      <c r="G34" t="e">
        <f>'[1]Simplified Analysis 1'!#REF!</f>
        <v>#REF!</v>
      </c>
      <c r="H34" t="e">
        <f>'[1]Simplified Analysis 1'!#REF!</f>
        <v>#REF!</v>
      </c>
    </row>
    <row r="35" spans="3:8" x14ac:dyDescent="0.25">
      <c r="C35">
        <v>2</v>
      </c>
      <c r="D35">
        <v>6.0184599999999993</v>
      </c>
      <c r="E35" t="e">
        <f>'[1]Simplified Analysis 1'!#REF!</f>
        <v>#REF!</v>
      </c>
      <c r="F35" t="e">
        <f>'[1]Simplified Analysis 1'!#REF!</f>
        <v>#REF!</v>
      </c>
      <c r="G35" t="e">
        <f>'[1]Simplified Analysis 1'!#REF!</f>
        <v>#REF!</v>
      </c>
      <c r="H35" t="e">
        <f>'[1]Simplified Analysis 1'!#REF!</f>
        <v>#REF!</v>
      </c>
    </row>
    <row r="36" spans="3:8" x14ac:dyDescent="0.25">
      <c r="C36">
        <v>2</v>
      </c>
      <c r="D36">
        <v>6.2714999999999996</v>
      </c>
      <c r="E36" t="e">
        <f>'[1]Simplified Analysis 1'!#REF!</f>
        <v>#REF!</v>
      </c>
      <c r="F36" t="e">
        <f>'[1]Simplified Analysis 1'!#REF!</f>
        <v>#REF!</v>
      </c>
      <c r="G36" t="e">
        <f>'[1]Simplified Analysis 1'!#REF!</f>
        <v>#REF!</v>
      </c>
      <c r="H36" t="e">
        <f>'[1]Simplified Analysis 1'!#REF!</f>
        <v>#REF!</v>
      </c>
    </row>
    <row r="37" spans="3:8" x14ac:dyDescent="0.25">
      <c r="C37">
        <v>2</v>
      </c>
      <c r="D37">
        <v>6.7539999999999996</v>
      </c>
      <c r="E37" t="e">
        <f>'[1]Simplified Analysis 1'!#REF!</f>
        <v>#REF!</v>
      </c>
      <c r="F37" t="e">
        <f>'[1]Simplified Analysis 1'!#REF!</f>
        <v>#REF!</v>
      </c>
      <c r="G37" t="e">
        <f>'[1]Simplified Analysis 1'!#REF!</f>
        <v>#REF!</v>
      </c>
      <c r="H37" t="e">
        <f>'[1]Simplified Analysis 1'!#REF!</f>
        <v>#REF!</v>
      </c>
    </row>
    <row r="38" spans="3:8" x14ac:dyDescent="0.25">
      <c r="C38">
        <v>2</v>
      </c>
      <c r="D38">
        <v>7.1307700000000001</v>
      </c>
      <c r="E38" t="e">
        <f>'[1]Simplified Analysis 1'!#REF!</f>
        <v>#REF!</v>
      </c>
      <c r="F38" t="e">
        <f>'[1]Simplified Analysis 1'!#REF!</f>
        <v>#REF!</v>
      </c>
      <c r="G38" t="e">
        <f>'[1]Simplified Analysis 1'!#REF!</f>
        <v>#REF!</v>
      </c>
      <c r="H38" t="e">
        <f>'[1]Simplified Analysis 1'!#REF!</f>
        <v>#REF!</v>
      </c>
    </row>
    <row r="39" spans="3:8" x14ac:dyDescent="0.25">
      <c r="C39">
        <v>2</v>
      </c>
      <c r="D39">
        <v>7.2364999999999995</v>
      </c>
      <c r="E39" t="e">
        <f>'[1]Simplified Analysis 1'!#REF!</f>
        <v>#REF!</v>
      </c>
      <c r="F39" t="e">
        <f>'[1]Simplified Analysis 1'!#REF!</f>
        <v>#REF!</v>
      </c>
      <c r="G39" t="e">
        <f>'[1]Simplified Analysis 1'!#REF!</f>
        <v>#REF!</v>
      </c>
      <c r="H39" t="e">
        <f>'[1]Simplified Analysis 1'!#REF!</f>
        <v>#REF!</v>
      </c>
    </row>
    <row r="40" spans="3:8" x14ac:dyDescent="0.25">
      <c r="C40">
        <v>2</v>
      </c>
      <c r="D40">
        <v>7.7189999999999994</v>
      </c>
      <c r="E40" t="e">
        <f>'[1]Simplified Analysis 1'!#REF!</f>
        <v>#REF!</v>
      </c>
      <c r="F40" t="e">
        <f>'[1]Simplified Analysis 1'!#REF!</f>
        <v>#REF!</v>
      </c>
      <c r="G40" t="e">
        <f>'[1]Simplified Analysis 1'!#REF!</f>
        <v>#REF!</v>
      </c>
      <c r="H40" t="e">
        <f>'[1]Simplified Analysis 1'!#REF!</f>
        <v>#REF!</v>
      </c>
    </row>
    <row r="41" spans="3:8" x14ac:dyDescent="0.25">
      <c r="C41">
        <v>2</v>
      </c>
      <c r="D41">
        <v>7.72</v>
      </c>
      <c r="E41" t="e">
        <f>'[1]Simplified Analysis 1'!#REF!</f>
        <v>#REF!</v>
      </c>
      <c r="F41" t="e">
        <f>'[1]Simplified Analysis 1'!#REF!</f>
        <v>#REF!</v>
      </c>
      <c r="G41" t="e">
        <f>'[1]Simplified Analysis 1'!#REF!</f>
        <v>#REF!</v>
      </c>
      <c r="H41" t="e">
        <f>'[1]Simplified Analysis 1'!#REF!</f>
        <v>#REF!</v>
      </c>
    </row>
    <row r="42" spans="3:8" x14ac:dyDescent="0.25">
      <c r="C42">
        <v>3</v>
      </c>
      <c r="D42">
        <v>7.72</v>
      </c>
      <c r="E42" t="e">
        <f>'[1]Simplified Analysis 1'!#REF!</f>
        <v>#REF!</v>
      </c>
      <c r="F42" t="e">
        <f>'[1]Simplified Analysis 1'!#REF!</f>
        <v>#REF!</v>
      </c>
      <c r="G42" t="e">
        <f>'[1]Simplified Analysis 1'!#REF!</f>
        <v>#REF!</v>
      </c>
      <c r="H42" t="e">
        <f>'[1]Simplified Analysis 1'!#REF!</f>
        <v>#REF!</v>
      </c>
    </row>
    <row r="43" spans="3:8" x14ac:dyDescent="0.25">
      <c r="C43">
        <v>3</v>
      </c>
      <c r="D43">
        <v>8.2014999999999993</v>
      </c>
      <c r="E43" t="e">
        <f>'[1]Simplified Analysis 1'!#REF!</f>
        <v>#REF!</v>
      </c>
      <c r="F43" t="e">
        <f>'[1]Simplified Analysis 1'!#REF!</f>
        <v>#REF!</v>
      </c>
      <c r="G43" t="e">
        <f>'[1]Simplified Analysis 1'!#REF!</f>
        <v>#REF!</v>
      </c>
      <c r="H43" t="e">
        <f>'[1]Simplified Analysis 1'!#REF!</f>
        <v>#REF!</v>
      </c>
    </row>
    <row r="44" spans="3:8" x14ac:dyDescent="0.25">
      <c r="C44">
        <v>3</v>
      </c>
      <c r="D44">
        <v>8.2430799999999991</v>
      </c>
      <c r="E44" t="e">
        <f>'[1]Simplified Analysis 1'!#REF!</f>
        <v>#REF!</v>
      </c>
      <c r="F44" t="e">
        <f>'[1]Simplified Analysis 1'!#REF!</f>
        <v>#REF!</v>
      </c>
      <c r="G44" t="e">
        <f>'[1]Simplified Analysis 1'!#REF!</f>
        <v>#REF!</v>
      </c>
      <c r="H44" t="e">
        <f>'[1]Simplified Analysis 1'!#REF!</f>
        <v>#REF!</v>
      </c>
    </row>
    <row r="45" spans="3:8" x14ac:dyDescent="0.25">
      <c r="C45">
        <v>3</v>
      </c>
      <c r="D45">
        <v>8.6839999999999993</v>
      </c>
      <c r="E45" t="e">
        <f>'[1]Simplified Analysis 1'!#REF!</f>
        <v>#REF!</v>
      </c>
      <c r="F45" t="e">
        <f>'[1]Simplified Analysis 1'!#REF!</f>
        <v>#REF!</v>
      </c>
      <c r="G45" t="e">
        <f>'[1]Simplified Analysis 1'!#REF!</f>
        <v>#REF!</v>
      </c>
      <c r="H45" t="e">
        <f>'[1]Simplified Analysis 1'!#REF!</f>
        <v>#REF!</v>
      </c>
    </row>
    <row r="46" spans="3:8" x14ac:dyDescent="0.25">
      <c r="C46">
        <v>3</v>
      </c>
      <c r="D46">
        <v>9.1664999999999992</v>
      </c>
      <c r="E46" t="e">
        <f>'[1]Simplified Analysis 1'!#REF!</f>
        <v>#REF!</v>
      </c>
      <c r="F46" t="e">
        <f>'[1]Simplified Analysis 1'!#REF!</f>
        <v>#REF!</v>
      </c>
      <c r="G46" t="e">
        <f>'[1]Simplified Analysis 1'!#REF!</f>
        <v>#REF!</v>
      </c>
      <c r="H46" t="e">
        <f>'[1]Simplified Analysis 1'!#REF!</f>
        <v>#REF!</v>
      </c>
    </row>
    <row r="47" spans="3:8" x14ac:dyDescent="0.25">
      <c r="C47">
        <v>3</v>
      </c>
      <c r="D47">
        <v>9.3553800000000003</v>
      </c>
      <c r="E47" t="e">
        <f>'[1]Simplified Analysis 1'!#REF!</f>
        <v>#REF!</v>
      </c>
      <c r="F47" t="e">
        <f>'[1]Simplified Analysis 1'!#REF!</f>
        <v>#REF!</v>
      </c>
      <c r="G47" t="e">
        <f>'[1]Simplified Analysis 1'!#REF!</f>
        <v>#REF!</v>
      </c>
      <c r="H47" t="e">
        <f>'[1]Simplified Analysis 1'!#REF!</f>
        <v>#REF!</v>
      </c>
    </row>
    <row r="48" spans="3:8" x14ac:dyDescent="0.25">
      <c r="C48">
        <v>3</v>
      </c>
      <c r="D48">
        <v>9.6489999999999991</v>
      </c>
      <c r="E48" t="e">
        <f>'[1]Simplified Analysis 1'!#REF!</f>
        <v>#REF!</v>
      </c>
      <c r="F48" t="e">
        <f>'[1]Simplified Analysis 1'!#REF!</f>
        <v>#REF!</v>
      </c>
      <c r="G48" t="e">
        <f>'[1]Simplified Analysis 1'!#REF!</f>
        <v>#REF!</v>
      </c>
      <c r="H48" t="e">
        <f>'[1]Simplified Analysis 1'!#REF!</f>
        <v>#REF!</v>
      </c>
    </row>
    <row r="49" spans="3:8" x14ac:dyDescent="0.25">
      <c r="C49">
        <v>3</v>
      </c>
      <c r="D49">
        <v>10.131499999999999</v>
      </c>
      <c r="E49" t="e">
        <f>'[1]Simplified Analysis 1'!#REF!</f>
        <v>#REF!</v>
      </c>
      <c r="F49" t="e">
        <f>'[1]Simplified Analysis 1'!#REF!</f>
        <v>#REF!</v>
      </c>
      <c r="G49" t="e">
        <f>'[1]Simplified Analysis 1'!#REF!</f>
        <v>#REF!</v>
      </c>
      <c r="H49" t="e">
        <f>'[1]Simplified Analysis 1'!#REF!</f>
        <v>#REF!</v>
      </c>
    </row>
    <row r="50" spans="3:8" x14ac:dyDescent="0.25">
      <c r="C50">
        <v>3</v>
      </c>
      <c r="D50">
        <v>10.467689999999999</v>
      </c>
      <c r="E50" t="e">
        <f>'[1]Simplified Analysis 1'!#REF!</f>
        <v>#REF!</v>
      </c>
      <c r="F50" t="e">
        <f>'[1]Simplified Analysis 1'!#REF!</f>
        <v>#REF!</v>
      </c>
      <c r="G50" t="e">
        <f>'[1]Simplified Analysis 1'!#REF!</f>
        <v>#REF!</v>
      </c>
      <c r="H50" t="e">
        <f>'[1]Simplified Analysis 1'!#REF!</f>
        <v>#REF!</v>
      </c>
    </row>
    <row r="51" spans="3:8" x14ac:dyDescent="0.25">
      <c r="C51">
        <v>3</v>
      </c>
      <c r="D51">
        <v>10.614000000000001</v>
      </c>
      <c r="E51" t="e">
        <f>'[1]Simplified Analysis 1'!#REF!</f>
        <v>#REF!</v>
      </c>
      <c r="F51" t="e">
        <f>'[1]Simplified Analysis 1'!#REF!</f>
        <v>#REF!</v>
      </c>
      <c r="G51" t="e">
        <f>'[1]Simplified Analysis 1'!#REF!</f>
        <v>#REF!</v>
      </c>
      <c r="H51" t="e">
        <f>'[1]Simplified Analysis 1'!#REF!</f>
        <v>#REF!</v>
      </c>
    </row>
    <row r="52" spans="3:8" x14ac:dyDescent="0.25">
      <c r="C52">
        <v>3</v>
      </c>
      <c r="D52">
        <v>11.096499999999999</v>
      </c>
      <c r="E52" t="e">
        <f>'[1]Simplified Analysis 1'!#REF!</f>
        <v>#REF!</v>
      </c>
      <c r="F52" t="e">
        <f>'[1]Simplified Analysis 1'!#REF!</f>
        <v>#REF!</v>
      </c>
      <c r="G52" t="e">
        <f>'[1]Simplified Analysis 1'!#REF!</f>
        <v>#REF!</v>
      </c>
      <c r="H52" t="e">
        <f>'[1]Simplified Analysis 1'!#REF!</f>
        <v>#REF!</v>
      </c>
    </row>
    <row r="53" spans="3:8" x14ac:dyDescent="0.25">
      <c r="C53">
        <v>3</v>
      </c>
      <c r="D53">
        <v>11.579000000000001</v>
      </c>
      <c r="E53" t="e">
        <f>'[1]Simplified Analysis 1'!#REF!</f>
        <v>#REF!</v>
      </c>
      <c r="F53" t="e">
        <f>'[1]Simplified Analysis 1'!#REF!</f>
        <v>#REF!</v>
      </c>
      <c r="G53" t="e">
        <f>'[1]Simplified Analysis 1'!#REF!</f>
        <v>#REF!</v>
      </c>
      <c r="H53" t="e">
        <f>'[1]Simplified Analysis 1'!#REF!</f>
        <v>#REF!</v>
      </c>
    </row>
    <row r="54" spans="3:8" x14ac:dyDescent="0.25">
      <c r="C54">
        <v>3</v>
      </c>
      <c r="D54">
        <v>11.58</v>
      </c>
      <c r="E54" t="e">
        <f>'[1]Simplified Analysis 1'!#REF!</f>
        <v>#REF!</v>
      </c>
      <c r="F54" t="e">
        <f>'[1]Simplified Analysis 1'!#REF!</f>
        <v>#REF!</v>
      </c>
      <c r="G54" t="e">
        <f>'[1]Simplified Analysis 1'!#REF!</f>
        <v>#REF!</v>
      </c>
      <c r="H54" t="e">
        <f>'[1]Simplified Analysis 1'!#REF!</f>
        <v>#REF!</v>
      </c>
    </row>
    <row r="55" spans="3:8" x14ac:dyDescent="0.25">
      <c r="C55">
        <v>4</v>
      </c>
      <c r="D55">
        <v>11.58</v>
      </c>
      <c r="E55" t="e">
        <f>'[1]Simplified Analysis 1'!#REF!</f>
        <v>#REF!</v>
      </c>
      <c r="F55" t="e">
        <f>'[1]Simplified Analysis 1'!#REF!</f>
        <v>#REF!</v>
      </c>
      <c r="G55" t="e">
        <f>'[1]Simplified Analysis 1'!#REF!</f>
        <v>#REF!</v>
      </c>
      <c r="H55" t="e">
        <f>'[1]Simplified Analysis 1'!#REF!</f>
        <v>#REF!</v>
      </c>
    </row>
    <row r="56" spans="3:8" x14ac:dyDescent="0.25">
      <c r="C56">
        <v>4</v>
      </c>
      <c r="D56">
        <v>12.055250000000001</v>
      </c>
      <c r="E56" t="e">
        <f>'[1]Simplified Analysis 1'!#REF!</f>
        <v>#REF!</v>
      </c>
      <c r="F56" t="e">
        <f>'[1]Simplified Analysis 1'!#REF!</f>
        <v>#REF!</v>
      </c>
      <c r="G56" t="e">
        <f>'[1]Simplified Analysis 1'!#REF!</f>
        <v>#REF!</v>
      </c>
      <c r="H56" t="e">
        <f>'[1]Simplified Analysis 1'!#REF!</f>
        <v>#REF!</v>
      </c>
    </row>
    <row r="57" spans="3:8" x14ac:dyDescent="0.25">
      <c r="C57">
        <v>4</v>
      </c>
      <c r="D57">
        <v>12.531499999999999</v>
      </c>
      <c r="E57" t="e">
        <f>'[1]Simplified Analysis 1'!#REF!</f>
        <v>#REF!</v>
      </c>
      <c r="F57" t="e">
        <f>'[1]Simplified Analysis 1'!#REF!</f>
        <v>#REF!</v>
      </c>
      <c r="G57" t="e">
        <f>'[1]Simplified Analysis 1'!#REF!</f>
        <v>#REF!</v>
      </c>
      <c r="H57" t="e">
        <f>'[1]Simplified Analysis 1'!#REF!</f>
        <v>#REF!</v>
      </c>
    </row>
    <row r="58" spans="3:8" x14ac:dyDescent="0.25">
      <c r="C58">
        <v>4</v>
      </c>
      <c r="D58">
        <v>13.00775</v>
      </c>
      <c r="E58" t="e">
        <f>'[1]Simplified Analysis 1'!#REF!</f>
        <v>#REF!</v>
      </c>
      <c r="F58" t="e">
        <f>'[1]Simplified Analysis 1'!#REF!</f>
        <v>#REF!</v>
      </c>
      <c r="G58" t="e">
        <f>'[1]Simplified Analysis 1'!#REF!</f>
        <v>#REF!</v>
      </c>
      <c r="H58" t="e">
        <f>'[1]Simplified Analysis 1'!#REF!</f>
        <v>#REF!</v>
      </c>
    </row>
    <row r="59" spans="3:8" x14ac:dyDescent="0.25">
      <c r="C59">
        <v>4</v>
      </c>
      <c r="D59">
        <v>13.103999999999999</v>
      </c>
      <c r="E59" t="e">
        <f>'[1]Simplified Analysis 1'!#REF!</f>
        <v>#REF!</v>
      </c>
      <c r="F59" t="e">
        <f>'[1]Simplified Analysis 1'!#REF!</f>
        <v>#REF!</v>
      </c>
      <c r="G59" t="e">
        <f>'[1]Simplified Analysis 1'!#REF!</f>
        <v>#REF!</v>
      </c>
      <c r="H59" t="e">
        <f>'[1]Simplified Analysis 1'!#REF!</f>
        <v>#REF!</v>
      </c>
    </row>
    <row r="60" spans="3:8" x14ac:dyDescent="0.25">
      <c r="C60">
        <v>4</v>
      </c>
      <c r="D60">
        <v>13.484</v>
      </c>
      <c r="E60" t="e">
        <f>'[1]Simplified Analysis 1'!#REF!</f>
        <v>#REF!</v>
      </c>
      <c r="F60" t="e">
        <f>'[1]Simplified Analysis 1'!#REF!</f>
        <v>#REF!</v>
      </c>
      <c r="G60" t="e">
        <f>'[1]Simplified Analysis 1'!#REF!</f>
        <v>#REF!</v>
      </c>
      <c r="H60" t="e">
        <f>'[1]Simplified Analysis 1'!#REF!</f>
        <v>#REF!</v>
      </c>
    </row>
    <row r="61" spans="3:8" x14ac:dyDescent="0.25">
      <c r="C61">
        <v>4</v>
      </c>
      <c r="D61">
        <v>13.96025</v>
      </c>
      <c r="E61" t="e">
        <f>'[1]Simplified Analysis 1'!#REF!</f>
        <v>#REF!</v>
      </c>
      <c r="F61" t="e">
        <f>'[1]Simplified Analysis 1'!#REF!</f>
        <v>#REF!</v>
      </c>
      <c r="G61" t="e">
        <f>'[1]Simplified Analysis 1'!#REF!</f>
        <v>#REF!</v>
      </c>
      <c r="H61" t="e">
        <f>'[1]Simplified Analysis 1'!#REF!</f>
        <v>#REF!</v>
      </c>
    </row>
    <row r="62" spans="3:8" x14ac:dyDescent="0.25">
      <c r="C62">
        <v>4</v>
      </c>
      <c r="D62">
        <v>14.436500000000001</v>
      </c>
      <c r="E62" t="e">
        <f>'[1]Simplified Analysis 1'!#REF!</f>
        <v>#REF!</v>
      </c>
      <c r="F62" t="e">
        <f>'[1]Simplified Analysis 1'!#REF!</f>
        <v>#REF!</v>
      </c>
      <c r="G62" t="e">
        <f>'[1]Simplified Analysis 1'!#REF!</f>
        <v>#REF!</v>
      </c>
      <c r="H62" t="e">
        <f>'[1]Simplified Analysis 1'!#REF!</f>
        <v>#REF!</v>
      </c>
    </row>
    <row r="63" spans="3:8" x14ac:dyDescent="0.25">
      <c r="C63">
        <v>4</v>
      </c>
      <c r="D63">
        <v>14.628</v>
      </c>
      <c r="E63" t="e">
        <f>'[1]Simplified Analysis 1'!#REF!</f>
        <v>#REF!</v>
      </c>
      <c r="F63" t="e">
        <f>'[1]Simplified Analysis 1'!#REF!</f>
        <v>#REF!</v>
      </c>
      <c r="G63" t="e">
        <f>'[1]Simplified Analysis 1'!#REF!</f>
        <v>#REF!</v>
      </c>
      <c r="H63" t="e">
        <f>'[1]Simplified Analysis 1'!#REF!</f>
        <v>#REF!</v>
      </c>
    </row>
    <row r="64" spans="3:8" x14ac:dyDescent="0.25">
      <c r="C64">
        <v>4</v>
      </c>
      <c r="D64">
        <v>14.912749999999999</v>
      </c>
      <c r="E64" t="e">
        <f>'[1]Simplified Analysis 1'!#REF!</f>
        <v>#REF!</v>
      </c>
      <c r="F64" t="e">
        <f>'[1]Simplified Analysis 1'!#REF!</f>
        <v>#REF!</v>
      </c>
      <c r="G64" t="e">
        <f>'[1]Simplified Analysis 1'!#REF!</f>
        <v>#REF!</v>
      </c>
      <c r="H64" t="e">
        <f>'[1]Simplified Analysis 1'!#REF!</f>
        <v>#REF!</v>
      </c>
    </row>
    <row r="65" spans="3:8" x14ac:dyDescent="0.25">
      <c r="C65">
        <v>4</v>
      </c>
      <c r="D65">
        <v>15.388999999999999</v>
      </c>
      <c r="E65" t="e">
        <f>'[1]Simplified Analysis 1'!#REF!</f>
        <v>#REF!</v>
      </c>
      <c r="F65" t="e">
        <f>'[1]Simplified Analysis 1'!#REF!</f>
        <v>#REF!</v>
      </c>
      <c r="G65" t="e">
        <f>'[1]Simplified Analysis 1'!#REF!</f>
        <v>#REF!</v>
      </c>
      <c r="H65" t="e">
        <f>'[1]Simplified Analysis 1'!#REF!</f>
        <v>#REF!</v>
      </c>
    </row>
    <row r="66" spans="3:8" x14ac:dyDescent="0.25">
      <c r="C66">
        <v>4</v>
      </c>
      <c r="D66">
        <v>15.39</v>
      </c>
      <c r="E66" t="e">
        <f>'[1]Simplified Analysis 1'!#REF!</f>
        <v>#REF!</v>
      </c>
      <c r="F66" t="e">
        <f>'[1]Simplified Analysis 1'!#REF!</f>
        <v>#REF!</v>
      </c>
      <c r="G66" t="e">
        <f>'[1]Simplified Analysis 1'!#REF!</f>
        <v>#REF!</v>
      </c>
      <c r="H66" t="e">
        <f>'[1]Simplified Analysis 1'!#REF!</f>
        <v>#REF!</v>
      </c>
    </row>
    <row r="67" spans="3:8" x14ac:dyDescent="0.25">
      <c r="C67">
        <v>5</v>
      </c>
      <c r="D67">
        <v>15.39</v>
      </c>
      <c r="E67" t="e">
        <f>'[1]Simplified Analysis 1'!#REF!</f>
        <v>#REF!</v>
      </c>
      <c r="F67" t="e">
        <f>'[1]Simplified Analysis 1'!#REF!</f>
        <v>#REF!</v>
      </c>
      <c r="G67" t="e">
        <f>'[1]Simplified Analysis 1'!#REF!</f>
        <v>#REF!</v>
      </c>
      <c r="H67" t="e">
        <f>'[1]Simplified Analysis 1'!#REF!</f>
        <v>#REF!</v>
      </c>
    </row>
    <row r="68" spans="3:8" x14ac:dyDescent="0.25">
      <c r="C68">
        <v>5</v>
      </c>
      <c r="D68">
        <v>15.865250000000001</v>
      </c>
      <c r="E68" t="e">
        <f>'[1]Simplified Analysis 1'!#REF!</f>
        <v>#REF!</v>
      </c>
      <c r="F68" t="e">
        <f>'[1]Simplified Analysis 1'!#REF!</f>
        <v>#REF!</v>
      </c>
      <c r="G68" t="e">
        <f>'[1]Simplified Analysis 1'!#REF!</f>
        <v>#REF!</v>
      </c>
      <c r="H68" t="e">
        <f>'[1]Simplified Analysis 1'!#REF!</f>
        <v>#REF!</v>
      </c>
    </row>
    <row r="69" spans="3:8" x14ac:dyDescent="0.25">
      <c r="C69">
        <v>5</v>
      </c>
      <c r="D69">
        <v>16.152000000000001</v>
      </c>
      <c r="E69" t="e">
        <f>'[1]Simplified Analysis 1'!#REF!</f>
        <v>#REF!</v>
      </c>
      <c r="F69" t="e">
        <f>'[1]Simplified Analysis 1'!#REF!</f>
        <v>#REF!</v>
      </c>
      <c r="G69" t="e">
        <f>'[1]Simplified Analysis 1'!#REF!</f>
        <v>#REF!</v>
      </c>
      <c r="H69" t="e">
        <f>'[1]Simplified Analysis 1'!#REF!</f>
        <v>#REF!</v>
      </c>
    </row>
    <row r="70" spans="3:8" x14ac:dyDescent="0.25">
      <c r="C70">
        <v>5</v>
      </c>
      <c r="D70">
        <v>16.3415</v>
      </c>
      <c r="E70" t="e">
        <f>'[1]Simplified Analysis 1'!#REF!</f>
        <v>#REF!</v>
      </c>
      <c r="F70" t="e">
        <f>'[1]Simplified Analysis 1'!#REF!</f>
        <v>#REF!</v>
      </c>
      <c r="G70" t="e">
        <f>'[1]Simplified Analysis 1'!#REF!</f>
        <v>#REF!</v>
      </c>
      <c r="H70" t="e">
        <f>'[1]Simplified Analysis 1'!#REF!</f>
        <v>#REF!</v>
      </c>
    </row>
    <row r="71" spans="3:8" x14ac:dyDescent="0.25">
      <c r="C71">
        <v>5</v>
      </c>
      <c r="D71">
        <v>16.81775</v>
      </c>
      <c r="E71" t="e">
        <f>'[1]Simplified Analysis 1'!#REF!</f>
        <v>#REF!</v>
      </c>
      <c r="F71" t="e">
        <f>'[1]Simplified Analysis 1'!#REF!</f>
        <v>#REF!</v>
      </c>
      <c r="G71" t="e">
        <f>'[1]Simplified Analysis 1'!#REF!</f>
        <v>#REF!</v>
      </c>
      <c r="H71" t="e">
        <f>'[1]Simplified Analysis 1'!#REF!</f>
        <v>#REF!</v>
      </c>
    </row>
    <row r="72" spans="3:8" x14ac:dyDescent="0.25">
      <c r="C72">
        <v>5</v>
      </c>
      <c r="D72">
        <v>17.294</v>
      </c>
      <c r="E72" t="e">
        <f>'[1]Simplified Analysis 1'!#REF!</f>
        <v>#REF!</v>
      </c>
      <c r="F72" t="e">
        <f>'[1]Simplified Analysis 1'!#REF!</f>
        <v>#REF!</v>
      </c>
      <c r="G72" t="e">
        <f>'[1]Simplified Analysis 1'!#REF!</f>
        <v>#REF!</v>
      </c>
      <c r="H72" t="e">
        <f>'[1]Simplified Analysis 1'!#REF!</f>
        <v>#REF!</v>
      </c>
    </row>
    <row r="73" spans="3:8" x14ac:dyDescent="0.25">
      <c r="C73">
        <v>5</v>
      </c>
      <c r="D73">
        <v>17.676000000000002</v>
      </c>
      <c r="E73" t="e">
        <f>'[1]Simplified Analysis 1'!#REF!</f>
        <v>#REF!</v>
      </c>
      <c r="F73" t="e">
        <f>'[1]Simplified Analysis 1'!#REF!</f>
        <v>#REF!</v>
      </c>
      <c r="G73" t="e">
        <f>'[1]Simplified Analysis 1'!#REF!</f>
        <v>#REF!</v>
      </c>
      <c r="H73" t="e">
        <f>'[1]Simplified Analysis 1'!#REF!</f>
        <v>#REF!</v>
      </c>
    </row>
    <row r="74" spans="3:8" x14ac:dyDescent="0.25">
      <c r="C74">
        <v>5</v>
      </c>
      <c r="D74">
        <v>17.770250000000001</v>
      </c>
      <c r="E74" t="e">
        <f>'[1]Simplified Analysis 1'!#REF!</f>
        <v>#REF!</v>
      </c>
      <c r="F74" t="e">
        <f>'[1]Simplified Analysis 1'!#REF!</f>
        <v>#REF!</v>
      </c>
      <c r="G74" t="e">
        <f>'[1]Simplified Analysis 1'!#REF!</f>
        <v>#REF!</v>
      </c>
      <c r="H74" t="e">
        <f>'[1]Simplified Analysis 1'!#REF!</f>
        <v>#REF!</v>
      </c>
    </row>
    <row r="75" spans="3:8" x14ac:dyDescent="0.25">
      <c r="C75">
        <v>5</v>
      </c>
      <c r="D75">
        <v>18.246500000000001</v>
      </c>
      <c r="E75" t="e">
        <f>'[1]Simplified Analysis 1'!#REF!</f>
        <v>#REF!</v>
      </c>
      <c r="F75" t="e">
        <f>'[1]Simplified Analysis 1'!#REF!</f>
        <v>#REF!</v>
      </c>
      <c r="G75" t="e">
        <f>'[1]Simplified Analysis 1'!#REF!</f>
        <v>#REF!</v>
      </c>
      <c r="H75" t="e">
        <f>'[1]Simplified Analysis 1'!#REF!</f>
        <v>#REF!</v>
      </c>
    </row>
    <row r="76" spans="3:8" x14ac:dyDescent="0.25">
      <c r="C76">
        <v>5</v>
      </c>
      <c r="D76">
        <v>18.722750000000001</v>
      </c>
      <c r="E76" t="e">
        <f>'[1]Simplified Analysis 1'!#REF!</f>
        <v>#REF!</v>
      </c>
      <c r="F76" t="e">
        <f>'[1]Simplified Analysis 1'!#REF!</f>
        <v>#REF!</v>
      </c>
      <c r="G76" t="e">
        <f>'[1]Simplified Analysis 1'!#REF!</f>
        <v>#REF!</v>
      </c>
      <c r="H76" t="e">
        <f>'[1]Simplified Analysis 1'!#REF!</f>
        <v>#REF!</v>
      </c>
    </row>
    <row r="77" spans="3:8" x14ac:dyDescent="0.25">
      <c r="C77">
        <v>5</v>
      </c>
      <c r="D77">
        <v>19.199000000000002</v>
      </c>
      <c r="E77" t="e">
        <f>'[1]Simplified Analysis 1'!#REF!</f>
        <v>#REF!</v>
      </c>
      <c r="F77" t="e">
        <f>'[1]Simplified Analysis 1'!#REF!</f>
        <v>#REF!</v>
      </c>
      <c r="G77" t="e">
        <f>'[1]Simplified Analysis 1'!#REF!</f>
        <v>#REF!</v>
      </c>
      <c r="H77" t="e">
        <f>'[1]Simplified Analysis 1'!#REF!</f>
        <v>#REF!</v>
      </c>
    </row>
    <row r="78" spans="3:8" x14ac:dyDescent="0.25">
      <c r="C78">
        <v>5</v>
      </c>
      <c r="D78">
        <v>19.2</v>
      </c>
      <c r="E78" t="e">
        <f>'[1]Simplified Analysis 1'!#REF!</f>
        <v>#REF!</v>
      </c>
      <c r="F78" t="e">
        <f>'[1]Simplified Analysis 1'!#REF!</f>
        <v>#REF!</v>
      </c>
      <c r="G78" t="e">
        <f>'[1]Simplified Analysis 1'!#REF!</f>
        <v>#REF!</v>
      </c>
      <c r="H78" t="e">
        <f>'[1]Simplified Analysis 1'!#REF!</f>
        <v>#REF!</v>
      </c>
    </row>
    <row r="79" spans="3:8" x14ac:dyDescent="0.25">
      <c r="C79">
        <v>6</v>
      </c>
      <c r="D79">
        <v>19.2</v>
      </c>
      <c r="E79" t="e">
        <f>'[1]Simplified Analysis 1'!#REF!</f>
        <v>#REF!</v>
      </c>
      <c r="F79" t="e">
        <f>'[1]Simplified Analysis 1'!#REF!</f>
        <v>#REF!</v>
      </c>
      <c r="G79" t="e">
        <f>'[1]Simplified Analysis 1'!#REF!</f>
        <v>#REF!</v>
      </c>
      <c r="H79" t="e">
        <f>'[1]Simplified Analysis 1'!#REF!</f>
        <v>#REF!</v>
      </c>
    </row>
    <row r="80" spans="3:8" x14ac:dyDescent="0.25">
      <c r="C80">
        <v>6</v>
      </c>
      <c r="D80">
        <v>19.675249999999998</v>
      </c>
      <c r="E80" t="e">
        <f>'[1]Simplified Analysis 1'!#REF!</f>
        <v>#REF!</v>
      </c>
      <c r="F80" t="e">
        <f>'[1]Simplified Analysis 1'!#REF!</f>
        <v>#REF!</v>
      </c>
      <c r="G80" t="e">
        <f>'[1]Simplified Analysis 1'!#REF!</f>
        <v>#REF!</v>
      </c>
      <c r="H80" t="e">
        <f>'[1]Simplified Analysis 1'!#REF!</f>
        <v>#REF!</v>
      </c>
    </row>
    <row r="81" spans="3:8" x14ac:dyDescent="0.25">
      <c r="C81">
        <v>6</v>
      </c>
      <c r="D81">
        <v>20.151499999999999</v>
      </c>
      <c r="E81" t="e">
        <f>'[1]Simplified Analysis 1'!#REF!</f>
        <v>#REF!</v>
      </c>
      <c r="F81" t="e">
        <f>'[1]Simplified Analysis 1'!#REF!</f>
        <v>#REF!</v>
      </c>
      <c r="G81" t="e">
        <f>'[1]Simplified Analysis 1'!#REF!</f>
        <v>#REF!</v>
      </c>
      <c r="H81" t="e">
        <f>'[1]Simplified Analysis 1'!#REF!</f>
        <v>#REF!</v>
      </c>
    </row>
    <row r="82" spans="3:8" x14ac:dyDescent="0.25">
      <c r="C82">
        <v>6</v>
      </c>
      <c r="D82">
        <v>20.627749999999999</v>
      </c>
      <c r="E82" t="e">
        <f>'[1]Simplified Analysis 1'!#REF!</f>
        <v>#REF!</v>
      </c>
      <c r="F82" t="e">
        <f>'[1]Simplified Analysis 1'!#REF!</f>
        <v>#REF!</v>
      </c>
      <c r="G82" t="e">
        <f>'[1]Simplified Analysis 1'!#REF!</f>
        <v>#REF!</v>
      </c>
      <c r="H82" t="e">
        <f>'[1]Simplified Analysis 1'!#REF!</f>
        <v>#REF!</v>
      </c>
    </row>
    <row r="83" spans="3:8" x14ac:dyDescent="0.25">
      <c r="C83">
        <v>6</v>
      </c>
      <c r="D83">
        <v>20.724</v>
      </c>
      <c r="E83" t="e">
        <f>'[1]Simplified Analysis 1'!#REF!</f>
        <v>#REF!</v>
      </c>
      <c r="F83" t="e">
        <f>'[1]Simplified Analysis 1'!#REF!</f>
        <v>#REF!</v>
      </c>
      <c r="G83" t="e">
        <f>'[1]Simplified Analysis 1'!#REF!</f>
        <v>#REF!</v>
      </c>
      <c r="H83" t="e">
        <f>'[1]Simplified Analysis 1'!#REF!</f>
        <v>#REF!</v>
      </c>
    </row>
    <row r="84" spans="3:8" x14ac:dyDescent="0.25">
      <c r="C84">
        <v>6</v>
      </c>
      <c r="D84">
        <v>21.103999999999999</v>
      </c>
      <c r="E84" t="e">
        <f>'[1]Simplified Analysis 1'!#REF!</f>
        <v>#REF!</v>
      </c>
      <c r="F84" t="e">
        <f>'[1]Simplified Analysis 1'!#REF!</f>
        <v>#REF!</v>
      </c>
      <c r="G84" t="e">
        <f>'[1]Simplified Analysis 1'!#REF!</f>
        <v>#REF!</v>
      </c>
      <c r="H84" t="e">
        <f>'[1]Simplified Analysis 1'!#REF!</f>
        <v>#REF!</v>
      </c>
    </row>
    <row r="85" spans="3:8" x14ac:dyDescent="0.25">
      <c r="C85">
        <v>6</v>
      </c>
      <c r="D85">
        <v>21.580249999999999</v>
      </c>
      <c r="E85" t="e">
        <f>'[1]Simplified Analysis 1'!#REF!</f>
        <v>#REF!</v>
      </c>
      <c r="F85" t="e">
        <f>'[1]Simplified Analysis 1'!#REF!</f>
        <v>#REF!</v>
      </c>
      <c r="G85" t="e">
        <f>'[1]Simplified Analysis 1'!#REF!</f>
        <v>#REF!</v>
      </c>
      <c r="H85" t="e">
        <f>'[1]Simplified Analysis 1'!#REF!</f>
        <v>#REF!</v>
      </c>
    </row>
    <row r="86" spans="3:8" x14ac:dyDescent="0.25">
      <c r="C86">
        <v>6</v>
      </c>
      <c r="D86">
        <v>22.0565</v>
      </c>
      <c r="E86" t="e">
        <f>'[1]Simplified Analysis 1'!#REF!</f>
        <v>#REF!</v>
      </c>
      <c r="F86" t="e">
        <f>'[1]Simplified Analysis 1'!#REF!</f>
        <v>#REF!</v>
      </c>
      <c r="G86" t="e">
        <f>'[1]Simplified Analysis 1'!#REF!</f>
        <v>#REF!</v>
      </c>
      <c r="H86" t="e">
        <f>'[1]Simplified Analysis 1'!#REF!</f>
        <v>#REF!</v>
      </c>
    </row>
    <row r="87" spans="3:8" x14ac:dyDescent="0.25">
      <c r="C87">
        <v>6</v>
      </c>
      <c r="D87">
        <v>22.247999999999998</v>
      </c>
      <c r="E87" t="e">
        <f>'[1]Simplified Analysis 1'!#REF!</f>
        <v>#REF!</v>
      </c>
      <c r="F87" t="e">
        <f>'[1]Simplified Analysis 1'!#REF!</f>
        <v>#REF!</v>
      </c>
      <c r="G87" t="e">
        <f>'[1]Simplified Analysis 1'!#REF!</f>
        <v>#REF!</v>
      </c>
      <c r="H87" t="e">
        <f>'[1]Simplified Analysis 1'!#REF!</f>
        <v>#REF!</v>
      </c>
    </row>
    <row r="88" spans="3:8" x14ac:dyDescent="0.25">
      <c r="C88">
        <v>6</v>
      </c>
      <c r="D88">
        <v>22.53275</v>
      </c>
      <c r="E88" t="e">
        <f>'[1]Simplified Analysis 1'!#REF!</f>
        <v>#REF!</v>
      </c>
      <c r="F88" t="e">
        <f>'[1]Simplified Analysis 1'!#REF!</f>
        <v>#REF!</v>
      </c>
      <c r="G88" t="e">
        <f>'[1]Simplified Analysis 1'!#REF!</f>
        <v>#REF!</v>
      </c>
      <c r="H88" t="e">
        <f>'[1]Simplified Analysis 1'!#REF!</f>
        <v>#REF!</v>
      </c>
    </row>
    <row r="89" spans="3:8" x14ac:dyDescent="0.25">
      <c r="C89">
        <v>6</v>
      </c>
      <c r="D89">
        <v>23.009</v>
      </c>
      <c r="E89" t="e">
        <f>'[1]Simplified Analysis 1'!#REF!</f>
        <v>#REF!</v>
      </c>
      <c r="F89" t="e">
        <f>'[1]Simplified Analysis 1'!#REF!</f>
        <v>#REF!</v>
      </c>
      <c r="G89" t="e">
        <f>'[1]Simplified Analysis 1'!#REF!</f>
        <v>#REF!</v>
      </c>
      <c r="H89" t="e">
        <f>'[1]Simplified Analysis 1'!#REF!</f>
        <v>#REF!</v>
      </c>
    </row>
    <row r="90" spans="3:8" x14ac:dyDescent="0.25">
      <c r="C90">
        <v>6</v>
      </c>
      <c r="D90">
        <v>23.009999999999998</v>
      </c>
      <c r="E90" t="e">
        <f>'[1]Simplified Analysis 1'!#REF!</f>
        <v>#REF!</v>
      </c>
      <c r="F90" t="e">
        <f>'[1]Simplified Analysis 1'!#REF!</f>
        <v>#REF!</v>
      </c>
      <c r="G90" t="e">
        <f>'[1]Simplified Analysis 1'!#REF!</f>
        <v>#REF!</v>
      </c>
      <c r="H90" t="e">
        <f>'[1]Simplified Analysis 1'!#REF!</f>
        <v>#REF!</v>
      </c>
    </row>
    <row r="91" spans="3:8" x14ac:dyDescent="0.25">
      <c r="C91">
        <v>7</v>
      </c>
      <c r="D91">
        <v>23.009999999999998</v>
      </c>
      <c r="E91" t="e">
        <f>'[1]Simplified Analysis 1'!#REF!</f>
        <v>#REF!</v>
      </c>
      <c r="F91" t="e">
        <f>'[1]Simplified Analysis 1'!#REF!</f>
        <v>#REF!</v>
      </c>
      <c r="G91" t="e">
        <f>'[1]Simplified Analysis 1'!#REF!</f>
        <v>#REF!</v>
      </c>
      <c r="H91" t="e">
        <f>'[1]Simplified Analysis 1'!#REF!</f>
        <v>#REF!</v>
      </c>
    </row>
    <row r="92" spans="3:8" x14ac:dyDescent="0.25">
      <c r="C92">
        <v>7</v>
      </c>
      <c r="D92">
        <v>23.485249999999997</v>
      </c>
      <c r="E92" t="e">
        <f>'[1]Simplified Analysis 1'!#REF!</f>
        <v>#REF!</v>
      </c>
      <c r="F92" t="e">
        <f>'[1]Simplified Analysis 1'!#REF!</f>
        <v>#REF!</v>
      </c>
      <c r="G92" t="e">
        <f>'[1]Simplified Analysis 1'!#REF!</f>
        <v>#REF!</v>
      </c>
      <c r="H92" t="e">
        <f>'[1]Simplified Analysis 1'!#REF!</f>
        <v>#REF!</v>
      </c>
    </row>
    <row r="93" spans="3:8" x14ac:dyDescent="0.25">
      <c r="C93">
        <v>7</v>
      </c>
      <c r="D93">
        <v>23.771999999999998</v>
      </c>
      <c r="E93" t="e">
        <f>'[1]Simplified Analysis 1'!#REF!</f>
        <v>#REF!</v>
      </c>
      <c r="F93" t="e">
        <f>'[1]Simplified Analysis 1'!#REF!</f>
        <v>#REF!</v>
      </c>
      <c r="G93" t="e">
        <f>'[1]Simplified Analysis 1'!#REF!</f>
        <v>#REF!</v>
      </c>
      <c r="H93" t="e">
        <f>'[1]Simplified Analysis 1'!#REF!</f>
        <v>#REF!</v>
      </c>
    </row>
    <row r="94" spans="3:8" x14ac:dyDescent="0.25">
      <c r="C94">
        <v>7</v>
      </c>
      <c r="D94">
        <v>23.961499999999997</v>
      </c>
      <c r="E94" t="e">
        <f>'[1]Simplified Analysis 1'!#REF!</f>
        <v>#REF!</v>
      </c>
      <c r="F94" t="e">
        <f>'[1]Simplified Analysis 1'!#REF!</f>
        <v>#REF!</v>
      </c>
      <c r="G94" t="e">
        <f>'[1]Simplified Analysis 1'!#REF!</f>
        <v>#REF!</v>
      </c>
      <c r="H94" t="e">
        <f>'[1]Simplified Analysis 1'!#REF!</f>
        <v>#REF!</v>
      </c>
    </row>
    <row r="95" spans="3:8" x14ac:dyDescent="0.25">
      <c r="C95">
        <v>7</v>
      </c>
      <c r="D95">
        <v>24.437749999999998</v>
      </c>
      <c r="E95" t="e">
        <f>'[1]Simplified Analysis 1'!#REF!</f>
        <v>#REF!</v>
      </c>
      <c r="F95" t="e">
        <f>'[1]Simplified Analysis 1'!#REF!</f>
        <v>#REF!</v>
      </c>
      <c r="G95" t="e">
        <f>'[1]Simplified Analysis 1'!#REF!</f>
        <v>#REF!</v>
      </c>
      <c r="H95" t="e">
        <f>'[1]Simplified Analysis 1'!#REF!</f>
        <v>#REF!</v>
      </c>
    </row>
    <row r="96" spans="3:8" x14ac:dyDescent="0.25">
      <c r="C96">
        <v>7</v>
      </c>
      <c r="D96">
        <v>24.913999999999998</v>
      </c>
      <c r="E96" t="e">
        <f>'[1]Simplified Analysis 1'!#REF!</f>
        <v>#REF!</v>
      </c>
      <c r="F96" t="e">
        <f>'[1]Simplified Analysis 1'!#REF!</f>
        <v>#REF!</v>
      </c>
      <c r="G96" t="e">
        <f>'[1]Simplified Analysis 1'!#REF!</f>
        <v>#REF!</v>
      </c>
      <c r="H96" t="e">
        <f>'[1]Simplified Analysis 1'!#REF!</f>
        <v>#REF!</v>
      </c>
    </row>
    <row r="97" spans="3:8" x14ac:dyDescent="0.25">
      <c r="C97">
        <v>7</v>
      </c>
      <c r="D97">
        <v>25.295999999999999</v>
      </c>
      <c r="E97" t="e">
        <f>'[1]Simplified Analysis 1'!#REF!</f>
        <v>#REF!</v>
      </c>
      <c r="F97" t="e">
        <f>'[1]Simplified Analysis 1'!#REF!</f>
        <v>#REF!</v>
      </c>
      <c r="G97" t="e">
        <f>'[1]Simplified Analysis 1'!#REF!</f>
        <v>#REF!</v>
      </c>
      <c r="H97" t="e">
        <f>'[1]Simplified Analysis 1'!#REF!</f>
        <v>#REF!</v>
      </c>
    </row>
    <row r="98" spans="3:8" x14ac:dyDescent="0.25">
      <c r="C98">
        <v>7</v>
      </c>
      <c r="D98">
        <v>25.390249999999998</v>
      </c>
      <c r="E98" t="e">
        <f>'[1]Simplified Analysis 1'!#REF!</f>
        <v>#REF!</v>
      </c>
      <c r="F98" t="e">
        <f>'[1]Simplified Analysis 1'!#REF!</f>
        <v>#REF!</v>
      </c>
      <c r="G98" t="e">
        <f>'[1]Simplified Analysis 1'!#REF!</f>
        <v>#REF!</v>
      </c>
      <c r="H98" t="e">
        <f>'[1]Simplified Analysis 1'!#REF!</f>
        <v>#REF!</v>
      </c>
    </row>
    <row r="99" spans="3:8" x14ac:dyDescent="0.25">
      <c r="C99">
        <v>7</v>
      </c>
      <c r="D99">
        <v>25.866499999999998</v>
      </c>
      <c r="E99" t="e">
        <f>'[1]Simplified Analysis 1'!#REF!</f>
        <v>#REF!</v>
      </c>
      <c r="F99" t="e">
        <f>'[1]Simplified Analysis 1'!#REF!</f>
        <v>#REF!</v>
      </c>
      <c r="G99" t="e">
        <f>'[1]Simplified Analysis 1'!#REF!</f>
        <v>#REF!</v>
      </c>
      <c r="H99" t="e">
        <f>'[1]Simplified Analysis 1'!#REF!</f>
        <v>#REF!</v>
      </c>
    </row>
    <row r="100" spans="3:8" x14ac:dyDescent="0.25">
      <c r="C100">
        <v>7</v>
      </c>
      <c r="D100">
        <v>26.342749999999999</v>
      </c>
      <c r="E100" t="e">
        <f>'[1]Simplified Analysis 1'!#REF!</f>
        <v>#REF!</v>
      </c>
      <c r="F100" t="e">
        <f>'[1]Simplified Analysis 1'!#REF!</f>
        <v>#REF!</v>
      </c>
      <c r="G100" t="e">
        <f>'[1]Simplified Analysis 1'!#REF!</f>
        <v>#REF!</v>
      </c>
      <c r="H100" t="e">
        <f>'[1]Simplified Analysis 1'!#REF!</f>
        <v>#REF!</v>
      </c>
    </row>
    <row r="101" spans="3:8" x14ac:dyDescent="0.25">
      <c r="C101">
        <v>7</v>
      </c>
      <c r="D101">
        <v>26.818999999999999</v>
      </c>
      <c r="E101" t="e">
        <f>'[1]Simplified Analysis 1'!#REF!</f>
        <v>#REF!</v>
      </c>
      <c r="F101" t="e">
        <f>'[1]Simplified Analysis 1'!#REF!</f>
        <v>#REF!</v>
      </c>
      <c r="G101" t="e">
        <f>'[1]Simplified Analysis 1'!#REF!</f>
        <v>#REF!</v>
      </c>
      <c r="H101" t="e">
        <f>'[1]Simplified Analysis 1'!#REF!</f>
        <v>#REF!</v>
      </c>
    </row>
    <row r="102" spans="3:8" x14ac:dyDescent="0.25">
      <c r="C102">
        <v>7</v>
      </c>
      <c r="D102">
        <v>26.819999999999997</v>
      </c>
      <c r="E102" t="e">
        <f>'[1]Simplified Analysis 1'!#REF!</f>
        <v>#REF!</v>
      </c>
      <c r="F102" t="e">
        <f>'[1]Simplified Analysis 1'!#REF!</f>
        <v>#REF!</v>
      </c>
      <c r="G102" t="e">
        <f>'[1]Simplified Analysis 1'!#REF!</f>
        <v>#REF!</v>
      </c>
      <c r="H102" t="e">
        <f>'[1]Simplified Analysis 1'!#REF!</f>
        <v>#REF!</v>
      </c>
    </row>
    <row r="103" spans="3:8" x14ac:dyDescent="0.25">
      <c r="C103">
        <v>8</v>
      </c>
      <c r="D103">
        <v>26.819999999999997</v>
      </c>
      <c r="E103" t="e">
        <f>'[1]Simplified Analysis 1'!#REF!</f>
        <v>#REF!</v>
      </c>
      <c r="F103" t="e">
        <f>'[1]Simplified Analysis 1'!#REF!</f>
        <v>#REF!</v>
      </c>
      <c r="G103" t="e">
        <f>'[1]Simplified Analysis 1'!#REF!</f>
        <v>#REF!</v>
      </c>
      <c r="H103" t="e">
        <f>'[1]Simplified Analysis 1'!#REF!</f>
        <v>#REF!</v>
      </c>
    </row>
    <row r="104" spans="3:8" x14ac:dyDescent="0.25">
      <c r="C104">
        <v>8</v>
      </c>
      <c r="D104">
        <v>27.301499999999997</v>
      </c>
      <c r="E104" t="e">
        <f>'[1]Simplified Analysis 1'!#REF!</f>
        <v>#REF!</v>
      </c>
      <c r="F104" t="e">
        <f>'[1]Simplified Analysis 1'!#REF!</f>
        <v>#REF!</v>
      </c>
      <c r="G104" t="e">
        <f>'[1]Simplified Analysis 1'!#REF!</f>
        <v>#REF!</v>
      </c>
      <c r="H104" t="e">
        <f>'[1]Simplified Analysis 1'!#REF!</f>
        <v>#REF!</v>
      </c>
    </row>
    <row r="105" spans="3:8" x14ac:dyDescent="0.25">
      <c r="C105">
        <v>8</v>
      </c>
      <c r="D105">
        <v>27.783999999999995</v>
      </c>
      <c r="E105" t="e">
        <f>'[1]Simplified Analysis 1'!#REF!</f>
        <v>#REF!</v>
      </c>
      <c r="F105" t="e">
        <f>'[1]Simplified Analysis 1'!#REF!</f>
        <v>#REF!</v>
      </c>
      <c r="G105" t="e">
        <f>'[1]Simplified Analysis 1'!#REF!</f>
        <v>#REF!</v>
      </c>
      <c r="H105" t="e">
        <f>'[1]Simplified Analysis 1'!#REF!</f>
        <v>#REF!</v>
      </c>
    </row>
    <row r="106" spans="3:8" x14ac:dyDescent="0.25">
      <c r="C106">
        <v>8</v>
      </c>
      <c r="D106">
        <v>27.932309999999998</v>
      </c>
      <c r="E106" t="e">
        <f>'[1]Simplified Analysis 1'!#REF!</f>
        <v>#REF!</v>
      </c>
      <c r="F106" t="e">
        <f>'[1]Simplified Analysis 1'!#REF!</f>
        <v>#REF!</v>
      </c>
      <c r="G106" t="e">
        <f>'[1]Simplified Analysis 1'!#REF!</f>
        <v>#REF!</v>
      </c>
      <c r="H106" t="e">
        <f>'[1]Simplified Analysis 1'!#REF!</f>
        <v>#REF!</v>
      </c>
    </row>
    <row r="107" spans="3:8" x14ac:dyDescent="0.25">
      <c r="C107">
        <v>8</v>
      </c>
      <c r="D107">
        <v>28.266499999999997</v>
      </c>
      <c r="E107" t="e">
        <f>'[1]Simplified Analysis 1'!#REF!</f>
        <v>#REF!</v>
      </c>
      <c r="F107" t="e">
        <f>'[1]Simplified Analysis 1'!#REF!</f>
        <v>#REF!</v>
      </c>
      <c r="G107" t="e">
        <f>'[1]Simplified Analysis 1'!#REF!</f>
        <v>#REF!</v>
      </c>
      <c r="H107" t="e">
        <f>'[1]Simplified Analysis 1'!#REF!</f>
        <v>#REF!</v>
      </c>
    </row>
    <row r="108" spans="3:8" x14ac:dyDescent="0.25">
      <c r="C108">
        <v>8</v>
      </c>
      <c r="D108">
        <v>28.748999999999995</v>
      </c>
      <c r="E108" t="e">
        <f>'[1]Simplified Analysis 1'!#REF!</f>
        <v>#REF!</v>
      </c>
      <c r="F108" t="e">
        <f>'[1]Simplified Analysis 1'!#REF!</f>
        <v>#REF!</v>
      </c>
      <c r="G108" t="e">
        <f>'[1]Simplified Analysis 1'!#REF!</f>
        <v>#REF!</v>
      </c>
      <c r="H108" t="e">
        <f>'[1]Simplified Analysis 1'!#REF!</f>
        <v>#REF!</v>
      </c>
    </row>
    <row r="109" spans="3:8" x14ac:dyDescent="0.25">
      <c r="C109">
        <v>8</v>
      </c>
      <c r="D109">
        <v>29.044619999999995</v>
      </c>
      <c r="E109" t="e">
        <f>'[1]Simplified Analysis 1'!#REF!</f>
        <v>#REF!</v>
      </c>
      <c r="F109" t="e">
        <f>'[1]Simplified Analysis 1'!#REF!</f>
        <v>#REF!</v>
      </c>
      <c r="G109" t="e">
        <f>'[1]Simplified Analysis 1'!#REF!</f>
        <v>#REF!</v>
      </c>
      <c r="H109" t="e">
        <f>'[1]Simplified Analysis 1'!#REF!</f>
        <v>#REF!</v>
      </c>
    </row>
    <row r="110" spans="3:8" x14ac:dyDescent="0.25">
      <c r="C110">
        <v>8</v>
      </c>
      <c r="D110">
        <v>29.231499999999997</v>
      </c>
      <c r="E110" t="e">
        <f>'[1]Simplified Analysis 1'!#REF!</f>
        <v>#REF!</v>
      </c>
      <c r="F110" t="e">
        <f>'[1]Simplified Analysis 1'!#REF!</f>
        <v>#REF!</v>
      </c>
      <c r="G110" t="e">
        <f>'[1]Simplified Analysis 1'!#REF!</f>
        <v>#REF!</v>
      </c>
      <c r="H110" t="e">
        <f>'[1]Simplified Analysis 1'!#REF!</f>
        <v>#REF!</v>
      </c>
    </row>
    <row r="111" spans="3:8" x14ac:dyDescent="0.25">
      <c r="C111">
        <v>8</v>
      </c>
      <c r="D111">
        <v>29.713999999999999</v>
      </c>
      <c r="E111" t="e">
        <f>'[1]Simplified Analysis 1'!#REF!</f>
        <v>#REF!</v>
      </c>
      <c r="F111" t="e">
        <f>'[1]Simplified Analysis 1'!#REF!</f>
        <v>#REF!</v>
      </c>
      <c r="G111" t="e">
        <f>'[1]Simplified Analysis 1'!#REF!</f>
        <v>#REF!</v>
      </c>
      <c r="H111" t="e">
        <f>'[1]Simplified Analysis 1'!#REF!</f>
        <v>#REF!</v>
      </c>
    </row>
    <row r="112" spans="3:8" x14ac:dyDescent="0.25">
      <c r="C112">
        <v>8</v>
      </c>
      <c r="D112">
        <v>30.156919999999996</v>
      </c>
      <c r="E112" t="e">
        <f>'[1]Simplified Analysis 1'!#REF!</f>
        <v>#REF!</v>
      </c>
      <c r="F112" t="e">
        <f>'[1]Simplified Analysis 1'!#REF!</f>
        <v>#REF!</v>
      </c>
      <c r="G112" t="e">
        <f>'[1]Simplified Analysis 1'!#REF!</f>
        <v>#REF!</v>
      </c>
      <c r="H112" t="e">
        <f>'[1]Simplified Analysis 1'!#REF!</f>
        <v>#REF!</v>
      </c>
    </row>
    <row r="113" spans="3:8" x14ac:dyDescent="0.25">
      <c r="C113">
        <v>8</v>
      </c>
      <c r="D113">
        <v>30.196499999999997</v>
      </c>
      <c r="E113" t="e">
        <f>'[1]Simplified Analysis 1'!#REF!</f>
        <v>#REF!</v>
      </c>
      <c r="F113" t="e">
        <f>'[1]Simplified Analysis 1'!#REF!</f>
        <v>#REF!</v>
      </c>
      <c r="G113" t="e">
        <f>'[1]Simplified Analysis 1'!#REF!</f>
        <v>#REF!</v>
      </c>
      <c r="H113" t="e">
        <f>'[1]Simplified Analysis 1'!#REF!</f>
        <v>#REF!</v>
      </c>
    </row>
    <row r="114" spans="3:8" x14ac:dyDescent="0.25">
      <c r="C114">
        <v>8</v>
      </c>
      <c r="D114">
        <v>30.678999999999995</v>
      </c>
      <c r="E114" t="e">
        <f>'[1]Simplified Analysis 1'!#REF!</f>
        <v>#REF!</v>
      </c>
      <c r="F114" t="e">
        <f>'[1]Simplified Analysis 1'!#REF!</f>
        <v>#REF!</v>
      </c>
      <c r="G114" t="e">
        <f>'[1]Simplified Analysis 1'!#REF!</f>
        <v>#REF!</v>
      </c>
      <c r="H114" t="e">
        <f>'[1]Simplified Analysis 1'!#REF!</f>
        <v>#REF!</v>
      </c>
    </row>
    <row r="115" spans="3:8" x14ac:dyDescent="0.25">
      <c r="C115">
        <v>8</v>
      </c>
      <c r="D115">
        <v>30.679999999999996</v>
      </c>
      <c r="E115" t="e">
        <f>'[1]Simplified Analysis 1'!#REF!</f>
        <v>#REF!</v>
      </c>
      <c r="F115" t="e">
        <f>'[1]Simplified Analysis 1'!#REF!</f>
        <v>#REF!</v>
      </c>
      <c r="G115" t="e">
        <f>'[1]Simplified Analysis 1'!#REF!</f>
        <v>#REF!</v>
      </c>
      <c r="H115" t="e">
        <f>'[1]Simplified Analysis 1'!#REF!</f>
        <v>#REF!</v>
      </c>
    </row>
    <row r="116" spans="3:8" x14ac:dyDescent="0.25">
      <c r="C116">
        <v>9</v>
      </c>
      <c r="D116">
        <v>30.679999999999996</v>
      </c>
      <c r="E116" t="e">
        <f>'[1]Simplified Analysis 1'!#REF!</f>
        <v>#REF!</v>
      </c>
      <c r="F116" t="e">
        <f>'[1]Simplified Analysis 1'!#REF!</f>
        <v>#REF!</v>
      </c>
      <c r="G116" t="e">
        <f>'[1]Simplified Analysis 1'!#REF!</f>
        <v>#REF!</v>
      </c>
      <c r="H116" t="e">
        <f>'[1]Simplified Analysis 1'!#REF!</f>
        <v>#REF!</v>
      </c>
    </row>
    <row r="117" spans="3:8" x14ac:dyDescent="0.25">
      <c r="C117">
        <v>9</v>
      </c>
      <c r="D117">
        <v>31.161499999999997</v>
      </c>
      <c r="E117" t="e">
        <f>'[1]Simplified Analysis 1'!#REF!</f>
        <v>#REF!</v>
      </c>
      <c r="F117" t="e">
        <f>'[1]Simplified Analysis 1'!#REF!</f>
        <v>#REF!</v>
      </c>
      <c r="G117" t="e">
        <f>'[1]Simplified Analysis 1'!#REF!</f>
        <v>#REF!</v>
      </c>
      <c r="H117" t="e">
        <f>'[1]Simplified Analysis 1'!#REF!</f>
        <v>#REF!</v>
      </c>
    </row>
    <row r="118" spans="3:8" x14ac:dyDescent="0.25">
      <c r="C118">
        <v>9</v>
      </c>
      <c r="D118">
        <v>31.269229999999997</v>
      </c>
      <c r="E118" t="e">
        <f>'[1]Simplified Analysis 1'!#REF!</f>
        <v>#REF!</v>
      </c>
      <c r="F118" t="e">
        <f>'[1]Simplified Analysis 1'!#REF!</f>
        <v>#REF!</v>
      </c>
      <c r="G118" t="e">
        <f>'[1]Simplified Analysis 1'!#REF!</f>
        <v>#REF!</v>
      </c>
      <c r="H118" t="e">
        <f>'[1]Simplified Analysis 1'!#REF!</f>
        <v>#REF!</v>
      </c>
    </row>
    <row r="119" spans="3:8" x14ac:dyDescent="0.25">
      <c r="C119">
        <v>9</v>
      </c>
      <c r="D119">
        <v>31.643999999999995</v>
      </c>
      <c r="E119" t="e">
        <f>'[1]Simplified Analysis 1'!#REF!</f>
        <v>#REF!</v>
      </c>
      <c r="F119" t="e">
        <f>'[1]Simplified Analysis 1'!#REF!</f>
        <v>#REF!</v>
      </c>
      <c r="G119" t="e">
        <f>'[1]Simplified Analysis 1'!#REF!</f>
        <v>#REF!</v>
      </c>
      <c r="H119" t="e">
        <f>'[1]Simplified Analysis 1'!#REF!</f>
        <v>#REF!</v>
      </c>
    </row>
    <row r="120" spans="3:8" x14ac:dyDescent="0.25">
      <c r="C120">
        <v>9</v>
      </c>
      <c r="D120">
        <v>32.126499999999993</v>
      </c>
      <c r="E120" t="e">
        <f>'[1]Simplified Analysis 1'!#REF!</f>
        <v>#REF!</v>
      </c>
      <c r="F120" t="e">
        <f>'[1]Simplified Analysis 1'!#REF!</f>
        <v>#REF!</v>
      </c>
      <c r="G120" t="e">
        <f>'[1]Simplified Analysis 1'!#REF!</f>
        <v>#REF!</v>
      </c>
      <c r="H120" t="e">
        <f>'[1]Simplified Analysis 1'!#REF!</f>
        <v>#REF!</v>
      </c>
    </row>
    <row r="121" spans="3:8" x14ac:dyDescent="0.25">
      <c r="C121">
        <v>9</v>
      </c>
      <c r="D121">
        <v>32.381539999999994</v>
      </c>
      <c r="E121" t="e">
        <f>'[1]Simplified Analysis 1'!#REF!</f>
        <v>#REF!</v>
      </c>
      <c r="F121" t="e">
        <f>'[1]Simplified Analysis 1'!#REF!</f>
        <v>#REF!</v>
      </c>
      <c r="G121" t="e">
        <f>'[1]Simplified Analysis 1'!#REF!</f>
        <v>#REF!</v>
      </c>
      <c r="H121" t="e">
        <f>'[1]Simplified Analysis 1'!#REF!</f>
        <v>#REF!</v>
      </c>
    </row>
    <row r="122" spans="3:8" x14ac:dyDescent="0.25">
      <c r="C122">
        <v>9</v>
      </c>
      <c r="D122">
        <v>32.608999999999995</v>
      </c>
      <c r="E122" t="e">
        <f>'[1]Simplified Analysis 1'!#REF!</f>
        <v>#REF!</v>
      </c>
      <c r="F122" t="e">
        <f>'[1]Simplified Analysis 1'!#REF!</f>
        <v>#REF!</v>
      </c>
      <c r="G122" t="e">
        <f>'[1]Simplified Analysis 1'!#REF!</f>
        <v>#REF!</v>
      </c>
      <c r="H122" t="e">
        <f>'[1]Simplified Analysis 1'!#REF!</f>
        <v>#REF!</v>
      </c>
    </row>
    <row r="123" spans="3:8" x14ac:dyDescent="0.25">
      <c r="C123">
        <v>9</v>
      </c>
      <c r="D123">
        <v>33.091499999999996</v>
      </c>
      <c r="E123" t="e">
        <f>'[1]Simplified Analysis 1'!#REF!</f>
        <v>#REF!</v>
      </c>
      <c r="F123" t="e">
        <f>'[1]Simplified Analysis 1'!#REF!</f>
        <v>#REF!</v>
      </c>
      <c r="G123" t="e">
        <f>'[1]Simplified Analysis 1'!#REF!</f>
        <v>#REF!</v>
      </c>
      <c r="H123" t="e">
        <f>'[1]Simplified Analysis 1'!#REF!</f>
        <v>#REF!</v>
      </c>
    </row>
    <row r="124" spans="3:8" x14ac:dyDescent="0.25">
      <c r="C124">
        <v>9</v>
      </c>
      <c r="D124">
        <v>33.493849999999995</v>
      </c>
      <c r="E124" t="e">
        <f>'[1]Simplified Analysis 1'!#REF!</f>
        <v>#REF!</v>
      </c>
      <c r="F124" t="e">
        <f>'[1]Simplified Analysis 1'!#REF!</f>
        <v>#REF!</v>
      </c>
      <c r="G124" t="e">
        <f>'[1]Simplified Analysis 1'!#REF!</f>
        <v>#REF!</v>
      </c>
      <c r="H124" t="e">
        <f>'[1]Simplified Analysis 1'!#REF!</f>
        <v>#REF!</v>
      </c>
    </row>
    <row r="125" spans="3:8" x14ac:dyDescent="0.25">
      <c r="C125">
        <v>9</v>
      </c>
      <c r="D125">
        <v>33.573999999999998</v>
      </c>
      <c r="E125" t="e">
        <f>'[1]Simplified Analysis 1'!#REF!</f>
        <v>#REF!</v>
      </c>
      <c r="F125" t="e">
        <f>'[1]Simplified Analysis 1'!#REF!</f>
        <v>#REF!</v>
      </c>
      <c r="G125" t="e">
        <f>'[1]Simplified Analysis 1'!#REF!</f>
        <v>#REF!</v>
      </c>
      <c r="H125" t="e">
        <f>'[1]Simplified Analysis 1'!#REF!</f>
        <v>#REF!</v>
      </c>
    </row>
    <row r="126" spans="3:8" x14ac:dyDescent="0.25">
      <c r="C126">
        <v>9</v>
      </c>
      <c r="D126">
        <v>34.0565</v>
      </c>
      <c r="E126" t="e">
        <f>'[1]Simplified Analysis 1'!#REF!</f>
        <v>#REF!</v>
      </c>
      <c r="F126" t="e">
        <f>'[1]Simplified Analysis 1'!#REF!</f>
        <v>#REF!</v>
      </c>
      <c r="G126" t="e">
        <f>'[1]Simplified Analysis 1'!#REF!</f>
        <v>#REF!</v>
      </c>
      <c r="H126" t="e">
        <f>'[1]Simplified Analysis 1'!#REF!</f>
        <v>#REF!</v>
      </c>
    </row>
    <row r="127" spans="3:8" x14ac:dyDescent="0.25">
      <c r="C127">
        <v>9</v>
      </c>
      <c r="D127">
        <v>34.538999999999994</v>
      </c>
      <c r="E127" t="e">
        <f>'[1]Simplified Analysis 1'!#REF!</f>
        <v>#REF!</v>
      </c>
      <c r="F127" t="e">
        <f>'[1]Simplified Analysis 1'!#REF!</f>
        <v>#REF!</v>
      </c>
      <c r="G127" t="e">
        <f>'[1]Simplified Analysis 1'!#REF!</f>
        <v>#REF!</v>
      </c>
      <c r="H127" t="e">
        <f>'[1]Simplified Analysis 1'!#REF!</f>
        <v>#REF!</v>
      </c>
    </row>
    <row r="128" spans="3:8" x14ac:dyDescent="0.25">
      <c r="C128">
        <v>9</v>
      </c>
      <c r="D128">
        <v>34.54</v>
      </c>
      <c r="E128" t="e">
        <f>'[1]Simplified Analysis 1'!#REF!</f>
        <v>#REF!</v>
      </c>
      <c r="F128" t="e">
        <f>'[1]Simplified Analysis 1'!#REF!</f>
        <v>#REF!</v>
      </c>
      <c r="G128" t="e">
        <f>'[1]Simplified Analysis 1'!#REF!</f>
        <v>#REF!</v>
      </c>
      <c r="H128" t="e">
        <f>'[1]Simplified Analysis 1'!#REF!</f>
        <v>#REF!</v>
      </c>
    </row>
    <row r="129" spans="3:8" x14ac:dyDescent="0.25">
      <c r="C129">
        <v>10</v>
      </c>
      <c r="D129">
        <v>34.54</v>
      </c>
      <c r="E129" t="e">
        <f>'[1]Simplified Analysis 1'!#REF!</f>
        <v>#REF!</v>
      </c>
      <c r="F129" t="e">
        <f>'[1]Simplified Analysis 1'!#REF!</f>
        <v>#REF!</v>
      </c>
      <c r="G129" t="e">
        <f>'[1]Simplified Analysis 1'!#REF!</f>
        <v>#REF!</v>
      </c>
      <c r="H129" t="e">
        <f>'[1]Simplified Analysis 1'!#REF!</f>
        <v>#REF!</v>
      </c>
    </row>
    <row r="130" spans="3:8" x14ac:dyDescent="0.25">
      <c r="C130">
        <v>10</v>
      </c>
      <c r="D130">
        <v>34.606160000000003</v>
      </c>
      <c r="E130" t="e">
        <f>'[1]Simplified Analysis 1'!#REF!</f>
        <v>#REF!</v>
      </c>
      <c r="F130" t="e">
        <f>'[1]Simplified Analysis 1'!#REF!</f>
        <v>#REF!</v>
      </c>
      <c r="G130" t="e">
        <f>'[1]Simplified Analysis 1'!#REF!</f>
        <v>#REF!</v>
      </c>
      <c r="H130" t="e">
        <f>'[1]Simplified Analysis 1'!#REF!</f>
        <v>#REF!</v>
      </c>
    </row>
    <row r="131" spans="3:8" x14ac:dyDescent="0.25">
      <c r="C131">
        <v>10</v>
      </c>
      <c r="D131">
        <v>35.021630000000002</v>
      </c>
      <c r="E131" t="e">
        <f>'[1]Simplified Analysis 1'!#REF!</f>
        <v>#REF!</v>
      </c>
      <c r="F131" t="e">
        <f>'[1]Simplified Analysis 1'!#REF!</f>
        <v>#REF!</v>
      </c>
      <c r="G131" t="e">
        <f>'[1]Simplified Analysis 1'!#REF!</f>
        <v>#REF!</v>
      </c>
      <c r="H131" t="e">
        <f>'[1]Simplified Analysis 1'!#REF!</f>
        <v>#REF!</v>
      </c>
    </row>
    <row r="132" spans="3:8" x14ac:dyDescent="0.25">
      <c r="C132">
        <v>10</v>
      </c>
      <c r="D132">
        <v>35.504249999999999</v>
      </c>
      <c r="E132" t="e">
        <f>'[1]Simplified Analysis 1'!#REF!</f>
        <v>#REF!</v>
      </c>
      <c r="F132" t="e">
        <f>'[1]Simplified Analysis 1'!#REF!</f>
        <v>#REF!</v>
      </c>
      <c r="G132" t="e">
        <f>'[1]Simplified Analysis 1'!#REF!</f>
        <v>#REF!</v>
      </c>
      <c r="H132" t="e">
        <f>'[1]Simplified Analysis 1'!#REF!</f>
        <v>#REF!</v>
      </c>
    </row>
    <row r="133" spans="3:8" x14ac:dyDescent="0.25">
      <c r="C133">
        <v>10</v>
      </c>
      <c r="D133">
        <v>35.71846</v>
      </c>
      <c r="E133" t="e">
        <f>'[1]Simplified Analysis 1'!#REF!</f>
        <v>#REF!</v>
      </c>
      <c r="F133" t="e">
        <f>'[1]Simplified Analysis 1'!#REF!</f>
        <v>#REF!</v>
      </c>
      <c r="G133" t="e">
        <f>'[1]Simplified Analysis 1'!#REF!</f>
        <v>#REF!</v>
      </c>
      <c r="H133" t="e">
        <f>'[1]Simplified Analysis 1'!#REF!</f>
        <v>#REF!</v>
      </c>
    </row>
    <row r="134" spans="3:8" x14ac:dyDescent="0.25">
      <c r="C134">
        <v>10</v>
      </c>
      <c r="D134">
        <v>35.986879999999999</v>
      </c>
      <c r="E134" t="e">
        <f>'[1]Simplified Analysis 1'!#REF!</f>
        <v>#REF!</v>
      </c>
      <c r="F134" t="e">
        <f>'[1]Simplified Analysis 1'!#REF!</f>
        <v>#REF!</v>
      </c>
      <c r="G134" t="e">
        <f>'[1]Simplified Analysis 1'!#REF!</f>
        <v>#REF!</v>
      </c>
      <c r="H134" t="e">
        <f>'[1]Simplified Analysis 1'!#REF!</f>
        <v>#REF!</v>
      </c>
    </row>
    <row r="135" spans="3:8" x14ac:dyDescent="0.25">
      <c r="C135">
        <v>10</v>
      </c>
      <c r="D135">
        <v>36.469499999999996</v>
      </c>
      <c r="E135" t="e">
        <f>'[1]Simplified Analysis 1'!#REF!</f>
        <v>#REF!</v>
      </c>
      <c r="F135" t="e">
        <f>'[1]Simplified Analysis 1'!#REF!</f>
        <v>#REF!</v>
      </c>
      <c r="G135" t="e">
        <f>'[1]Simplified Analysis 1'!#REF!</f>
        <v>#REF!</v>
      </c>
      <c r="H135" t="e">
        <f>'[1]Simplified Analysis 1'!#REF!</f>
        <v>#REF!</v>
      </c>
    </row>
    <row r="136" spans="3:8" x14ac:dyDescent="0.25">
      <c r="C136">
        <v>10</v>
      </c>
      <c r="D136">
        <v>36.830770000000001</v>
      </c>
      <c r="E136" t="e">
        <f>'[1]Simplified Analysis 1'!#REF!</f>
        <v>#REF!</v>
      </c>
      <c r="F136" t="e">
        <f>'[1]Simplified Analysis 1'!#REF!</f>
        <v>#REF!</v>
      </c>
      <c r="G136" t="e">
        <f>'[1]Simplified Analysis 1'!#REF!</f>
        <v>#REF!</v>
      </c>
      <c r="H136" t="e">
        <f>'[1]Simplified Analysis 1'!#REF!</f>
        <v>#REF!</v>
      </c>
    </row>
    <row r="137" spans="3:8" x14ac:dyDescent="0.25">
      <c r="C137">
        <v>10</v>
      </c>
      <c r="D137">
        <v>36.952129999999997</v>
      </c>
      <c r="E137" t="e">
        <f>'[1]Simplified Analysis 1'!#REF!</f>
        <v>#REF!</v>
      </c>
      <c r="F137" t="e">
        <f>'[1]Simplified Analysis 1'!#REF!</f>
        <v>#REF!</v>
      </c>
      <c r="G137" t="e">
        <f>'[1]Simplified Analysis 1'!#REF!</f>
        <v>#REF!</v>
      </c>
      <c r="H137" t="e">
        <f>'[1]Simplified Analysis 1'!#REF!</f>
        <v>#REF!</v>
      </c>
    </row>
    <row r="138" spans="3:8" x14ac:dyDescent="0.25">
      <c r="C138">
        <v>10</v>
      </c>
      <c r="D138">
        <v>37.434750000000001</v>
      </c>
      <c r="E138" t="e">
        <f>'[1]Simplified Analysis 1'!#REF!</f>
        <v>#REF!</v>
      </c>
      <c r="F138" t="e">
        <f>'[1]Simplified Analysis 1'!#REF!</f>
        <v>#REF!</v>
      </c>
      <c r="G138" t="e">
        <f>'[1]Simplified Analysis 1'!#REF!</f>
        <v>#REF!</v>
      </c>
      <c r="H138" t="e">
        <f>'[1]Simplified Analysis 1'!#REF!</f>
        <v>#REF!</v>
      </c>
    </row>
    <row r="139" spans="3:8" x14ac:dyDescent="0.25">
      <c r="C139">
        <v>10</v>
      </c>
      <c r="D139">
        <v>37.917380000000001</v>
      </c>
      <c r="E139" t="e">
        <f>'[1]Simplified Analysis 1'!#REF!</f>
        <v>#REF!</v>
      </c>
      <c r="F139" t="e">
        <f>'[1]Simplified Analysis 1'!#REF!</f>
        <v>#REF!</v>
      </c>
      <c r="G139" t="e">
        <f>'[1]Simplified Analysis 1'!#REF!</f>
        <v>#REF!</v>
      </c>
      <c r="H139" t="e">
        <f>'[1]Simplified Analysis 1'!#REF!</f>
        <v>#REF!</v>
      </c>
    </row>
    <row r="140" spans="3:8" x14ac:dyDescent="0.25">
      <c r="C140">
        <v>10</v>
      </c>
      <c r="D140">
        <v>38.4</v>
      </c>
      <c r="E140" t="e">
        <f>'[1]Simplified Analysis 1'!#REF!</f>
        <v>#REF!</v>
      </c>
      <c r="F140" t="e">
        <f>'[1]Simplified Analysis 1'!#REF!</f>
        <v>#REF!</v>
      </c>
      <c r="G140" t="e">
        <f>'[1]Simplified Analysis 1'!#REF!</f>
        <v>#REF!</v>
      </c>
      <c r="H140" t="e">
        <f>'[1]Simplified Analysis 1'!#REF!</f>
        <v>#REF!</v>
      </c>
    </row>
  </sheetData>
  <dataValidations count="1">
    <dataValidation type="decimal" operator="greaterThan" allowBlank="1" showInputMessage="1" showErrorMessage="1" sqref="O8">
      <formula1>0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7" sqref="K1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</vt:lpstr>
      <vt:lpstr>Raw</vt:lpstr>
      <vt:lpstr>Span 1</vt:lpstr>
      <vt:lpstr>Sheet3</vt:lpstr>
      <vt:lpstr>Sheet4</vt:lpstr>
      <vt:lpstr>Sheet5</vt:lpstr>
    </vt:vector>
  </TitlesOfParts>
  <Company>Dillon Consulting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Chaaraoui, Mazen</dc:creator>
  <cp:lastModifiedBy>Chaaraoui, Mazen</cp:lastModifiedBy>
  <dcterms:created xsi:type="dcterms:W3CDTF">2019-02-01T19:32:21Z</dcterms:created>
  <dcterms:modified xsi:type="dcterms:W3CDTF">2019-02-15T21:14:46Z</dcterms:modified>
</cp:coreProperties>
</file>